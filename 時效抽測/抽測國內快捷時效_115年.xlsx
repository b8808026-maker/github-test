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11.xml" ContentType="application/vnd.openxmlformats-officedocument.spreadsheetml.comments+xml"/>
  <Override PartName="/xl/comments1.xml" ContentType="application/vnd.openxmlformats-officedocument.spreadsheetml.comments+xml"/>
  <Override PartName="/xl/comments5.xml" ContentType="application/vnd.openxmlformats-officedocument.spreadsheetml.comments+xml"/>
  <Override PartName="/xl/comments15.xml" ContentType="application/vnd.openxmlformats-officedocument.spreadsheetml.comments+xml"/>
  <Override PartName="/xl/comments23.xml" ContentType="application/vnd.openxmlformats-officedocument.spreadsheetml.comment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comments17.xml" ContentType="application/vnd.openxmlformats-officedocument.spreadsheetml.comments+xml"/>
  <Override PartName="/xl/theme/theme1.xml" ContentType="application/vnd.openxmlformats-officedocument.theme+xml"/>
  <Override PartName="/xl/comments13.xml" ContentType="application/vnd.openxmlformats-officedocument.spreadsheetml.comments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comments19.xml" ContentType="application/vnd.openxmlformats-officedocument.spreadsheetml.comments+xml"/>
  <Override PartName="/xl/comments21.xml" ContentType="application/vnd.openxmlformats-officedocument.spreadsheetml.comments+xml"/>
  <Override PartName="/xl/worksheets/_rels/sheet23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21.xml.rels" ContentType="application/vnd.openxmlformats-package.relationships+xml"/>
  <Override PartName="/xl/worksheets/_rels/sheet3.xml.rels" ContentType="application/vnd.openxmlformats-package.relationships+xml"/>
  <Override PartName="/xl/worksheets/_rels/sheet19.xml.rels" ContentType="application/vnd.openxmlformats-package.relationships+xml"/>
  <Override PartName="/xl/worksheets/_rels/sheet17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1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24.xml" ContentType="application/vnd.openxmlformats-officedocument.spreadsheetml.worksheet+xml"/>
  <Override PartName="/xl/worksheets/sheet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drawings/vmlDrawing8.vml" ContentType="application/vnd.openxmlformats-officedocument.vmlDrawing"/>
  <Override PartName="/xl/drawings/vmlDrawing9.vml" ContentType="application/vnd.openxmlformats-officedocument.vmlDrawing"/>
  <Override PartName="/xl/drawings/vmlDrawing10.vml" ContentType="application/vnd.openxmlformats-officedocument.vmlDrawing"/>
  <Override PartName="/xl/drawings/vmlDrawing11.vml" ContentType="application/vnd.openxmlformats-officedocument.vmlDrawing"/>
  <Override PartName="/xl/drawings/vmlDrawing1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9"/>
  </bookViews>
  <sheets>
    <sheet name="01" sheetId="1" state="visible" r:id="rId3"/>
    <sheet name="01子本" sheetId="2" state="visible" r:id="rId4"/>
    <sheet name="02" sheetId="3" state="visible" r:id="rId5"/>
    <sheet name="02子本" sheetId="4" state="visible" r:id="rId6"/>
    <sheet name="03" sheetId="5" state="visible" r:id="rId7"/>
    <sheet name="03子本" sheetId="6" state="visible" r:id="rId8"/>
    <sheet name="04" sheetId="7" state="visible" r:id="rId9"/>
    <sheet name="04子本" sheetId="8" state="visible" r:id="rId10"/>
    <sheet name="05" sheetId="9" state="visible" r:id="rId11"/>
    <sheet name="05子本" sheetId="10" state="visible" r:id="rId12"/>
    <sheet name="06" sheetId="11" state="visible" r:id="rId13"/>
    <sheet name="06子本" sheetId="12" state="visible" r:id="rId14"/>
    <sheet name="07" sheetId="13" state="visible" r:id="rId15"/>
    <sheet name="07子本" sheetId="14" state="visible" r:id="rId16"/>
    <sheet name="08" sheetId="15" state="visible" r:id="rId17"/>
    <sheet name="08子本" sheetId="16" state="visible" r:id="rId18"/>
    <sheet name="09" sheetId="17" state="visible" r:id="rId19"/>
    <sheet name="09子本" sheetId="18" state="visible" r:id="rId20"/>
    <sheet name="10" sheetId="19" state="visible" r:id="rId21"/>
    <sheet name="10子本" sheetId="20" state="visible" r:id="rId22"/>
    <sheet name="11" sheetId="21" state="visible" r:id="rId23"/>
    <sheet name="11子本" sheetId="22" state="visible" r:id="rId24"/>
    <sheet name="12" sheetId="23" state="visible" r:id="rId25"/>
    <sheet name="12子本" sheetId="24" state="visible" r:id="rId26"/>
  </sheets>
  <definedNames>
    <definedName function="false" hidden="false" localSheetId="1" name="_xlnm.Print_Area" vbProcedure="false">01子本!$A$1:$E$80</definedName>
    <definedName function="false" hidden="false" localSheetId="3" name="_xlnm.Print_Area" vbProcedure="false">02子本!$A$1:$E$80</definedName>
    <definedName function="false" hidden="false" localSheetId="5" name="_xlnm.Print_Area" vbProcedure="false">03子本!$A$1:$E$80</definedName>
    <definedName function="false" hidden="false" localSheetId="7" name="_xlnm.Print_Area" vbProcedure="false">04子本!$A$1:$E$80</definedName>
    <definedName function="false" hidden="false" localSheetId="9" name="_xlnm.Print_Area" vbProcedure="false">05子本!$A$1:$E$80</definedName>
    <definedName function="false" hidden="false" localSheetId="11" name="_xlnm.Print_Area" vbProcedure="false">06子本!$A$1:$E$80</definedName>
    <definedName function="false" hidden="false" localSheetId="13" name="_xlnm.Print_Area" vbProcedure="false">07子本!$A$1:$E$80</definedName>
    <definedName function="false" hidden="false" localSheetId="15" name="_xlnm.Print_Area" vbProcedure="false">08子本!$A$1:$E$80</definedName>
    <definedName function="false" hidden="false" localSheetId="17" name="_xlnm.Print_Area" vbProcedure="false">09子本!$A$1:$E$80</definedName>
    <definedName function="false" hidden="false" localSheetId="19" name="_xlnm.Print_Area" vbProcedure="false">10子本!$A$1:$E$80</definedName>
    <definedName function="false" hidden="false" localSheetId="21" name="_xlnm.Print_Area" vbProcedure="false">11子本!$A$1:$E$80</definedName>
    <definedName function="false" hidden="false" localSheetId="23" name="_xlnm.Print_Area" vbProcedure="false">12子本!$A$1:$E$80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O2" authorId="0">
      <text>
        <r>
          <rPr>
            <sz val="10"/>
            <rFont val="Arial"/>
            <family val="2"/>
          </rPr>
          <t xml:space="preserve">EIC:
</t>
        </r>
        <r>
          <rPr>
            <sz val="10"/>
            <rFont val="WenQuanYi Zen Hei"/>
            <family val="2"/>
          </rPr>
          <t xml:space="preserve">編制報表前請先輸入此格資料，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例如</t>
        </r>
        <r>
          <rPr>
            <sz val="10"/>
            <rFont val="Arial"/>
            <family val="2"/>
          </rPr>
          <t xml:space="preserve">:97</t>
        </r>
        <r>
          <rPr>
            <sz val="10"/>
            <rFont val="WenQuanYi Zen Hei"/>
            <family val="2"/>
          </rPr>
          <t xml:space="preserve">年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WenQuanYi Zen Hei"/>
            <family val="2"/>
          </rPr>
          <t xml:space="preserve">月請鍵入</t>
        </r>
        <r>
          <rPr>
            <sz val="10"/>
            <rFont val="Arial"/>
            <family val="2"/>
          </rPr>
          <t xml:space="preserve">9701)
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O2" authorId="0">
      <text>
        <r>
          <rPr>
            <sz val="10"/>
            <rFont val="Arial"/>
            <family val="2"/>
          </rPr>
          <t xml:space="preserve">EIC:
</t>
        </r>
        <r>
          <rPr>
            <sz val="10"/>
            <rFont val="WenQuanYi Zen Hei"/>
            <family val="2"/>
          </rPr>
          <t xml:space="preserve">編制報表前請先輸入此格資料，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例如</t>
        </r>
        <r>
          <rPr>
            <sz val="10"/>
            <rFont val="Arial"/>
            <family val="2"/>
          </rPr>
          <t xml:space="preserve">:97</t>
        </r>
        <r>
          <rPr>
            <sz val="10"/>
            <rFont val="WenQuanYi Zen Hei"/>
            <family val="2"/>
          </rPr>
          <t xml:space="preserve">年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WenQuanYi Zen Hei"/>
            <family val="2"/>
          </rPr>
          <t xml:space="preserve">月請鍵入</t>
        </r>
        <r>
          <rPr>
            <sz val="10"/>
            <rFont val="Arial"/>
            <family val="2"/>
          </rPr>
          <t xml:space="preserve">9701)
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O2" authorId="0">
      <text>
        <r>
          <rPr>
            <sz val="10"/>
            <rFont val="Arial"/>
            <family val="2"/>
          </rPr>
          <t xml:space="preserve">EIC:
</t>
        </r>
        <r>
          <rPr>
            <sz val="10"/>
            <rFont val="WenQuanYi Zen Hei"/>
            <family val="2"/>
          </rPr>
          <t xml:space="preserve">編制報表前請先輸入此格資料，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例如</t>
        </r>
        <r>
          <rPr>
            <sz val="10"/>
            <rFont val="Arial"/>
            <family val="2"/>
          </rPr>
          <t xml:space="preserve">:97</t>
        </r>
        <r>
          <rPr>
            <sz val="10"/>
            <rFont val="WenQuanYi Zen Hei"/>
            <family val="2"/>
          </rPr>
          <t xml:space="preserve">年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WenQuanYi Zen Hei"/>
            <family val="2"/>
          </rPr>
          <t xml:space="preserve">月請鍵入</t>
        </r>
        <r>
          <rPr>
            <sz val="10"/>
            <rFont val="Arial"/>
            <family val="2"/>
          </rPr>
          <t xml:space="preserve">9701)
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O2" authorId="0">
      <text>
        <r>
          <rPr>
            <sz val="10"/>
            <rFont val="Arial"/>
            <family val="2"/>
          </rPr>
          <t xml:space="preserve">EIC:
</t>
        </r>
        <r>
          <rPr>
            <sz val="10"/>
            <rFont val="WenQuanYi Zen Hei"/>
            <family val="2"/>
          </rPr>
          <t xml:space="preserve">編制報表前請先輸入此格資料，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例如</t>
        </r>
        <r>
          <rPr>
            <sz val="10"/>
            <rFont val="Arial"/>
            <family val="2"/>
          </rPr>
          <t xml:space="preserve">:97</t>
        </r>
        <r>
          <rPr>
            <sz val="10"/>
            <rFont val="WenQuanYi Zen Hei"/>
            <family val="2"/>
          </rPr>
          <t xml:space="preserve">年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WenQuanYi Zen Hei"/>
            <family val="2"/>
          </rPr>
          <t xml:space="preserve">月請鍵入</t>
        </r>
        <r>
          <rPr>
            <sz val="10"/>
            <rFont val="Arial"/>
            <family val="2"/>
          </rPr>
          <t xml:space="preserve">9701)
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O2" authorId="0">
      <text>
        <r>
          <rPr>
            <sz val="10"/>
            <rFont val="Arial"/>
            <family val="2"/>
          </rPr>
          <t xml:space="preserve">EIC:
</t>
        </r>
        <r>
          <rPr>
            <sz val="10"/>
            <rFont val="WenQuanYi Zen Hei"/>
            <family val="2"/>
          </rPr>
          <t xml:space="preserve">編制報表前請先輸入此格資料，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例如</t>
        </r>
        <r>
          <rPr>
            <sz val="10"/>
            <rFont val="Arial"/>
            <family val="2"/>
          </rPr>
          <t xml:space="preserve">:97</t>
        </r>
        <r>
          <rPr>
            <sz val="10"/>
            <rFont val="WenQuanYi Zen Hei"/>
            <family val="2"/>
          </rPr>
          <t xml:space="preserve">年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WenQuanYi Zen Hei"/>
            <family val="2"/>
          </rPr>
          <t xml:space="preserve">月請鍵入</t>
        </r>
        <r>
          <rPr>
            <sz val="10"/>
            <rFont val="Arial"/>
            <family val="2"/>
          </rPr>
          <t xml:space="preserve">9701)
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O2" authorId="0">
      <text>
        <r>
          <rPr>
            <sz val="10"/>
            <rFont val="Arial"/>
            <family val="2"/>
          </rPr>
          <t xml:space="preserve">EIC:
</t>
        </r>
        <r>
          <rPr>
            <sz val="10"/>
            <rFont val="WenQuanYi Zen Hei"/>
            <family val="2"/>
          </rPr>
          <t xml:space="preserve">編制報表前請先輸入此格資料，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例如</t>
        </r>
        <r>
          <rPr>
            <sz val="10"/>
            <rFont val="Arial"/>
            <family val="2"/>
          </rPr>
          <t xml:space="preserve">:97</t>
        </r>
        <r>
          <rPr>
            <sz val="10"/>
            <rFont val="WenQuanYi Zen Hei"/>
            <family val="2"/>
          </rPr>
          <t xml:space="preserve">年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WenQuanYi Zen Hei"/>
            <family val="2"/>
          </rPr>
          <t xml:space="preserve">月請鍵入</t>
        </r>
        <r>
          <rPr>
            <sz val="10"/>
            <rFont val="Arial"/>
            <family val="2"/>
          </rPr>
          <t xml:space="preserve">9701)
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O2" authorId="0">
      <text>
        <r>
          <rPr>
            <sz val="10"/>
            <rFont val="Arial"/>
            <family val="2"/>
          </rPr>
          <t xml:space="preserve">EIC:
</t>
        </r>
        <r>
          <rPr>
            <sz val="10"/>
            <rFont val="WenQuanYi Zen Hei"/>
            <family val="2"/>
          </rPr>
          <t xml:space="preserve">編制報表前請先輸入此格資料，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例如</t>
        </r>
        <r>
          <rPr>
            <sz val="10"/>
            <rFont val="Arial"/>
            <family val="2"/>
          </rPr>
          <t xml:space="preserve">:97</t>
        </r>
        <r>
          <rPr>
            <sz val="10"/>
            <rFont val="WenQuanYi Zen Hei"/>
            <family val="2"/>
          </rPr>
          <t xml:space="preserve">年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WenQuanYi Zen Hei"/>
            <family val="2"/>
          </rPr>
          <t xml:space="preserve">月請鍵入</t>
        </r>
        <r>
          <rPr>
            <sz val="10"/>
            <rFont val="Arial"/>
            <family val="2"/>
          </rPr>
          <t xml:space="preserve">9701)
</t>
        </r>
      </text>
    </comment>
  </commentList>
</comments>
</file>

<file path=xl/comments1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O2" authorId="0">
      <text>
        <r>
          <rPr>
            <sz val="10"/>
            <rFont val="Arial"/>
            <family val="2"/>
          </rPr>
          <t xml:space="preserve">EIC:
</t>
        </r>
        <r>
          <rPr>
            <sz val="10"/>
            <rFont val="WenQuanYi Zen Hei"/>
            <family val="2"/>
          </rPr>
          <t xml:space="preserve">編制報表前請先輸入此格資料，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例如</t>
        </r>
        <r>
          <rPr>
            <sz val="10"/>
            <rFont val="Arial"/>
            <family val="2"/>
          </rPr>
          <t xml:space="preserve">:97</t>
        </r>
        <r>
          <rPr>
            <sz val="10"/>
            <rFont val="WenQuanYi Zen Hei"/>
            <family val="2"/>
          </rPr>
          <t xml:space="preserve">年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WenQuanYi Zen Hei"/>
            <family val="2"/>
          </rPr>
          <t xml:space="preserve">月請鍵入</t>
        </r>
        <r>
          <rPr>
            <sz val="10"/>
            <rFont val="Arial"/>
            <family val="2"/>
          </rPr>
          <t xml:space="preserve">9701)
</t>
        </r>
      </text>
    </comment>
  </commentList>
</comments>
</file>

<file path=xl/comments1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O2" authorId="0">
      <text>
        <r>
          <rPr>
            <sz val="10"/>
            <rFont val="Arial"/>
            <family val="2"/>
          </rPr>
          <t xml:space="preserve">EIC:
</t>
        </r>
        <r>
          <rPr>
            <sz val="10"/>
            <rFont val="WenQuanYi Zen Hei"/>
            <family val="2"/>
          </rPr>
          <t xml:space="preserve">編制報表前請先輸入此格資料，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例如</t>
        </r>
        <r>
          <rPr>
            <sz val="10"/>
            <rFont val="Arial"/>
            <family val="2"/>
          </rPr>
          <t xml:space="preserve">:97</t>
        </r>
        <r>
          <rPr>
            <sz val="10"/>
            <rFont val="WenQuanYi Zen Hei"/>
            <family val="2"/>
          </rPr>
          <t xml:space="preserve">年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WenQuanYi Zen Hei"/>
            <family val="2"/>
          </rPr>
          <t xml:space="preserve">月請鍵入</t>
        </r>
        <r>
          <rPr>
            <sz val="10"/>
            <rFont val="Arial"/>
            <family val="2"/>
          </rPr>
          <t xml:space="preserve">9701)
</t>
        </r>
      </text>
    </comment>
  </commentList>
</comments>
</file>

<file path=xl/comments1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O2" authorId="0">
      <text>
        <r>
          <rPr>
            <sz val="10"/>
            <rFont val="Arial"/>
            <family val="2"/>
          </rPr>
          <t xml:space="preserve">EIC:
</t>
        </r>
        <r>
          <rPr>
            <sz val="10"/>
            <rFont val="WenQuanYi Zen Hei"/>
            <family val="2"/>
          </rPr>
          <t xml:space="preserve">編制報表前請先輸入此格資料，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例如</t>
        </r>
        <r>
          <rPr>
            <sz val="10"/>
            <rFont val="Arial"/>
            <family val="2"/>
          </rPr>
          <t xml:space="preserve">:97</t>
        </r>
        <r>
          <rPr>
            <sz val="10"/>
            <rFont val="WenQuanYi Zen Hei"/>
            <family val="2"/>
          </rPr>
          <t xml:space="preserve">年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WenQuanYi Zen Hei"/>
            <family val="2"/>
          </rPr>
          <t xml:space="preserve">月請鍵入</t>
        </r>
        <r>
          <rPr>
            <sz val="10"/>
            <rFont val="Arial"/>
            <family val="2"/>
          </rPr>
          <t xml:space="preserve">9701)
</t>
        </r>
      </text>
    </comment>
  </commentList>
</comments>
</file>

<file path=xl/comments2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O2" authorId="0">
      <text>
        <r>
          <rPr>
            <sz val="10"/>
            <rFont val="Arial"/>
            <family val="2"/>
          </rPr>
          <t xml:space="preserve">EIC:
</t>
        </r>
        <r>
          <rPr>
            <sz val="10"/>
            <rFont val="WenQuanYi Zen Hei"/>
            <family val="2"/>
          </rPr>
          <t xml:space="preserve">編制報表前請先輸入此格資料，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例如</t>
        </r>
        <r>
          <rPr>
            <sz val="10"/>
            <rFont val="Arial"/>
            <family val="2"/>
          </rPr>
          <t xml:space="preserve">:97</t>
        </r>
        <r>
          <rPr>
            <sz val="10"/>
            <rFont val="WenQuanYi Zen Hei"/>
            <family val="2"/>
          </rPr>
          <t xml:space="preserve">年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WenQuanYi Zen Hei"/>
            <family val="2"/>
          </rPr>
          <t xml:space="preserve">月請鍵入</t>
        </r>
        <r>
          <rPr>
            <sz val="10"/>
            <rFont val="Arial"/>
            <family val="2"/>
          </rPr>
          <t xml:space="preserve">9701)
</t>
        </r>
      </text>
    </comment>
  </commentList>
</comments>
</file>

<file path=xl/comments2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O2" authorId="0">
      <text>
        <r>
          <rPr>
            <sz val="10"/>
            <rFont val="Arial"/>
            <family val="2"/>
          </rPr>
          <t xml:space="preserve">EIC:
</t>
        </r>
        <r>
          <rPr>
            <sz val="10"/>
            <rFont val="WenQuanYi Zen Hei"/>
            <family val="2"/>
          </rPr>
          <t xml:space="preserve">編制報表前請先輸入此格資料，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例如</t>
        </r>
        <r>
          <rPr>
            <sz val="10"/>
            <rFont val="Arial"/>
            <family val="2"/>
          </rPr>
          <t xml:space="preserve">:97</t>
        </r>
        <r>
          <rPr>
            <sz val="10"/>
            <rFont val="WenQuanYi Zen Hei"/>
            <family val="2"/>
          </rPr>
          <t xml:space="preserve">年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WenQuanYi Zen Hei"/>
            <family val="2"/>
          </rPr>
          <t xml:space="preserve">月請鍵入</t>
        </r>
        <r>
          <rPr>
            <sz val="10"/>
            <rFont val="Arial"/>
            <family val="2"/>
          </rPr>
          <t xml:space="preserve">9701)
</t>
        </r>
      </text>
    </comment>
  </commentList>
</comments>
</file>

<file path=xl/sharedStrings.xml><?xml version="1.0" encoding="utf-8"?>
<sst xmlns="http://schemas.openxmlformats.org/spreadsheetml/2006/main" count="788" uniqueCount="117">
  <si>
    <t xml:space="preserve">中和郵局  抽測國內快捷情形報告單</t>
  </si>
  <si>
    <r>
      <rPr>
        <sz val="18"/>
        <rFont val="標楷體"/>
        <family val="4"/>
        <charset val="136"/>
      </rPr>
      <t xml:space="preserve">115</t>
    </r>
    <r>
      <rPr>
        <sz val="18"/>
        <rFont val="WenQuanYi Zen Hei"/>
        <family val="2"/>
      </rPr>
      <t xml:space="preserve">年</t>
    </r>
  </si>
  <si>
    <r>
      <rPr>
        <sz val="18"/>
        <rFont val="標楷體"/>
        <family val="4"/>
        <charset val="136"/>
      </rPr>
      <t xml:space="preserve">1</t>
    </r>
    <r>
      <rPr>
        <sz val="18"/>
        <rFont val="WenQuanYi Zen Hei"/>
        <family val="2"/>
      </rPr>
      <t xml:space="preserve">月</t>
    </r>
  </si>
  <si>
    <t xml:space="preserve">互寄地區</t>
  </si>
  <si>
    <t xml:space="preserve">抽測件數</t>
  </si>
  <si>
    <r>
      <rPr>
        <sz val="12"/>
        <rFont val="標楷體"/>
        <family val="4"/>
        <charset val="136"/>
      </rPr>
      <t xml:space="preserve">J+2</t>
    </r>
    <r>
      <rPr>
        <sz val="12"/>
        <rFont val="WenQuanYi Zen Hei"/>
        <family val="2"/>
      </rPr>
      <t xml:space="preserve">時     件數      </t>
    </r>
  </si>
  <si>
    <r>
      <rPr>
        <sz val="12"/>
        <rFont val="標楷體"/>
        <family val="4"/>
        <charset val="136"/>
      </rPr>
      <t xml:space="preserve">J+2</t>
    </r>
    <r>
      <rPr>
        <sz val="12"/>
        <rFont val="WenQuanYi Zen Hei"/>
        <family val="2"/>
      </rPr>
      <t xml:space="preserve">時     投遞率      </t>
    </r>
  </si>
  <si>
    <r>
      <rPr>
        <sz val="12"/>
        <rFont val="標楷體"/>
        <family val="4"/>
        <charset val="136"/>
      </rPr>
      <t xml:space="preserve">J+4</t>
    </r>
    <r>
      <rPr>
        <sz val="12"/>
        <rFont val="WenQuanYi Zen Hei"/>
        <family val="2"/>
      </rPr>
      <t xml:space="preserve">時         件數</t>
    </r>
  </si>
  <si>
    <r>
      <rPr>
        <sz val="12"/>
        <rFont val="標楷體"/>
        <family val="4"/>
        <charset val="136"/>
      </rPr>
      <t xml:space="preserve">J+4</t>
    </r>
    <r>
      <rPr>
        <sz val="12"/>
        <rFont val="WenQuanYi Zen Hei"/>
        <family val="2"/>
      </rPr>
      <t xml:space="preserve">時     投遞率</t>
    </r>
  </si>
  <si>
    <r>
      <rPr>
        <sz val="12"/>
        <rFont val="標楷體"/>
        <family val="4"/>
        <charset val="136"/>
      </rPr>
      <t xml:space="preserve">J+6</t>
    </r>
    <r>
      <rPr>
        <sz val="12"/>
        <rFont val="WenQuanYi Zen Hei"/>
        <family val="2"/>
      </rPr>
      <t xml:space="preserve">時         件數</t>
    </r>
  </si>
  <si>
    <r>
      <rPr>
        <sz val="12"/>
        <rFont val="標楷體"/>
        <family val="4"/>
        <charset val="136"/>
      </rPr>
      <t xml:space="preserve">J+6</t>
    </r>
    <r>
      <rPr>
        <sz val="12"/>
        <rFont val="WenQuanYi Zen Hei"/>
        <family val="2"/>
      </rPr>
      <t xml:space="preserve">時     投遞率</t>
    </r>
  </si>
  <si>
    <r>
      <rPr>
        <sz val="12"/>
        <rFont val="標楷體"/>
        <family val="4"/>
        <charset val="136"/>
      </rPr>
      <t xml:space="preserve">J+8</t>
    </r>
    <r>
      <rPr>
        <sz val="12"/>
        <rFont val="WenQuanYi Zen Hei"/>
        <family val="2"/>
      </rPr>
      <t xml:space="preserve">時         件數 </t>
    </r>
  </si>
  <si>
    <r>
      <rPr>
        <sz val="12"/>
        <rFont val="標楷體"/>
        <family val="4"/>
        <charset val="136"/>
      </rPr>
      <t xml:space="preserve">J+8</t>
    </r>
    <r>
      <rPr>
        <sz val="12"/>
        <rFont val="WenQuanYi Zen Hei"/>
        <family val="2"/>
      </rPr>
      <t xml:space="preserve">時     投遞率 </t>
    </r>
  </si>
  <si>
    <r>
      <rPr>
        <sz val="12"/>
        <rFont val="標楷體"/>
        <family val="4"/>
        <charset val="136"/>
      </rPr>
      <t xml:space="preserve">8</t>
    </r>
    <r>
      <rPr>
        <sz val="12"/>
        <rFont val="WenQuanYi Zen Hei"/>
        <family val="2"/>
      </rPr>
      <t xml:space="preserve">時以上         件數 </t>
    </r>
  </si>
  <si>
    <r>
      <rPr>
        <sz val="12"/>
        <rFont val="標楷體"/>
        <family val="4"/>
        <charset val="136"/>
      </rPr>
      <t xml:space="preserve">8</t>
    </r>
    <r>
      <rPr>
        <sz val="12"/>
        <rFont val="WenQuanYi Zen Hei"/>
        <family val="2"/>
      </rPr>
      <t xml:space="preserve">時以上     投遞率 </t>
    </r>
  </si>
  <si>
    <t xml:space="preserve">符合時效比例</t>
  </si>
  <si>
    <t xml:space="preserve">平均               (時)數</t>
  </si>
  <si>
    <t xml:space="preserve">本收本投</t>
  </si>
  <si>
    <t xml:space="preserve">主要都市間互寄</t>
  </si>
  <si>
    <t xml:space="preserve">區域內互寄           (北北基、台中、高雄、中彰投地區)</t>
  </si>
  <si>
    <t xml:space="preserve">其他轉口</t>
  </si>
  <si>
    <t xml:space="preserve">說明：</t>
  </si>
  <si>
    <t xml:space="preserve">為瞭解國內快捷郵件寄遞時效，各局快捷單位應透過MQ或本公司全球資訊網查詢系統抽測「本收本投」、「主要都市互寄」、「區域內互寄」、「其他轉口」4類，每月至少各10件（抽查紀錄列印或記錄郵件號碼留局備查，保存1年），抽測結果於次月5日前寄管轄郵局郵務科彙整，於8日前上傳主機。</t>
  </si>
  <si>
    <t xml:space="preserve">抽測樣本：本收本投以15時前交寄、主要都市互寄11時前交寄、區域間互寄13時前交寄之郵件抽測為主。</t>
  </si>
  <si>
    <t xml:space="preserve">寄遞時效：自「交寄郵件」到「郵件投遞中」之處理狀態時間計算，四小時以內者填「ｊ＋4時」欄；逾四小時不逾六小時者填「ｊ＋6時」欄，餘類推。抽測結果有不符合時效標準者，請將相關地名列出，並檢討改善。</t>
  </si>
  <si>
    <t xml:space="preserve">十大都市互寄係指台北市(100-110)、板橋市(220)、桃園市(330)、中壢市(含平鎮，320、324)、新竹市(300)、台中市(400-408)、彰化市(500)、嘉義市(600)、台南市(700-709)、高雄市(800-804、806、807)互寄者。該欄位僅由該十大都市互寄局就相關之郵件抽測情形填註。</t>
  </si>
  <si>
    <t xml:space="preserve">平均(時)數：((J+2小時投遞率)*2+(J+4小時投遞率)*4+(J+6小時投遞率)*6+(J+8小時投遞率)*8+(J+8小時以上投遞率)*8)/100。</t>
  </si>
  <si>
    <t xml:space="preserve">製表:</t>
  </si>
  <si>
    <t xml:space="preserve">主管:</t>
  </si>
  <si>
    <t xml:space="preserve">郵件號碼</t>
  </si>
  <si>
    <t xml:space="preserve">交寄時間</t>
  </si>
  <si>
    <t xml:space="preserve">交投時間</t>
  </si>
  <si>
    <t xml:space="preserve">時數</t>
  </si>
  <si>
    <t xml:space="preserve">時效</t>
  </si>
  <si>
    <t xml:space="preserve">本地互寄:( 15時前交寄之郵件)
板橋市22071~81、92</t>
  </si>
  <si>
    <t xml:space="preserve">  製表:</t>
  </si>
  <si>
    <t xml:space="preserve">十大都市:( 11時前交寄之郵件)
台北市(100-110)、基隆市(200~206)、桃園市(330)、中壢市(含平鎮，320、324)、台中市(400-408)、彰化市(500)、嘉義市(600)、台南市(700-709)、高雄市(800-804、806、807)互寄者。</t>
  </si>
  <si>
    <t xml:space="preserve">區域互寄:( 13時前交寄之郵件)
220、241、360、420</t>
  </si>
  <si>
    <t xml:space="preserve">十大都市:( 11時前交寄之郵件)
台北市(100-110)、板橋市(220)、桃園市(330)、中壢市(含平鎮，320、324)、新竹市(300)、台中市(400-408)、彰化市(500)、嘉義市(600)、台南市(700-709)、高雄市(800-804、806、807)互寄者。</t>
  </si>
  <si>
    <r>
      <rPr>
        <sz val="18"/>
        <rFont val="標楷體"/>
        <family val="4"/>
        <charset val="136"/>
      </rPr>
      <t xml:space="preserve">2</t>
    </r>
    <r>
      <rPr>
        <sz val="18"/>
        <rFont val="WenQuanYi Zen Hei"/>
        <family val="2"/>
      </rPr>
      <t xml:space="preserve">月</t>
    </r>
  </si>
  <si>
    <r>
      <rPr>
        <sz val="18"/>
        <rFont val="標楷體"/>
        <family val="4"/>
        <charset val="136"/>
      </rPr>
      <t xml:space="preserve">3</t>
    </r>
    <r>
      <rPr>
        <sz val="18"/>
        <rFont val="WenQuanYi Zen Hei"/>
        <family val="2"/>
      </rPr>
      <t xml:space="preserve">月</t>
    </r>
  </si>
  <si>
    <r>
      <rPr>
        <sz val="18"/>
        <rFont val="標楷體"/>
        <family val="4"/>
        <charset val="136"/>
      </rPr>
      <t xml:space="preserve">4</t>
    </r>
    <r>
      <rPr>
        <sz val="18"/>
        <rFont val="WenQuanYi Zen Hei"/>
        <family val="2"/>
      </rPr>
      <t xml:space="preserve">月</t>
    </r>
  </si>
  <si>
    <r>
      <rPr>
        <sz val="18"/>
        <rFont val="標楷體"/>
        <family val="4"/>
        <charset val="136"/>
      </rPr>
      <t xml:space="preserve">5</t>
    </r>
    <r>
      <rPr>
        <sz val="18"/>
        <rFont val="WenQuanYi Zen Hei"/>
        <family val="2"/>
      </rPr>
      <t xml:space="preserve">月</t>
    </r>
  </si>
  <si>
    <r>
      <rPr>
        <sz val="18"/>
        <rFont val="標楷體"/>
        <family val="4"/>
        <charset val="136"/>
      </rPr>
      <t xml:space="preserve">6</t>
    </r>
    <r>
      <rPr>
        <sz val="18"/>
        <rFont val="WenQuanYi Zen Hei"/>
        <family val="2"/>
      </rPr>
      <t xml:space="preserve">月</t>
    </r>
  </si>
  <si>
    <r>
      <rPr>
        <sz val="18"/>
        <rFont val="標楷體"/>
        <family val="4"/>
        <charset val="136"/>
      </rPr>
      <t xml:space="preserve">7</t>
    </r>
    <r>
      <rPr>
        <sz val="18"/>
        <rFont val="WenQuanYi Zen Hei"/>
        <family val="2"/>
      </rPr>
      <t xml:space="preserve">月</t>
    </r>
  </si>
  <si>
    <r>
      <rPr>
        <sz val="18"/>
        <rFont val="標楷體"/>
        <family val="4"/>
        <charset val="136"/>
      </rPr>
      <t xml:space="preserve">8</t>
    </r>
    <r>
      <rPr>
        <sz val="18"/>
        <rFont val="WenQuanYi Zen Hei"/>
        <family val="2"/>
      </rPr>
      <t xml:space="preserve">月</t>
    </r>
  </si>
  <si>
    <r>
      <rPr>
        <sz val="18"/>
        <rFont val="標楷體"/>
        <family val="4"/>
        <charset val="136"/>
      </rPr>
      <t xml:space="preserve">9</t>
    </r>
    <r>
      <rPr>
        <sz val="18"/>
        <rFont val="WenQuanYi Zen Hei"/>
        <family val="2"/>
      </rPr>
      <t xml:space="preserve">月</t>
    </r>
  </si>
  <si>
    <t xml:space="preserve">96492122007250235009</t>
  </si>
  <si>
    <t xml:space="preserve">92614322007150235008</t>
  </si>
  <si>
    <t xml:space="preserve">93315422007950235004</t>
  </si>
  <si>
    <t xml:space="preserve">98416722007350235006</t>
  </si>
  <si>
    <t xml:space="preserve">93316922007950235006</t>
  </si>
  <si>
    <t xml:space="preserve">92628122007150235007</t>
  </si>
  <si>
    <t xml:space="preserve">92629222007150235003</t>
  </si>
  <si>
    <t xml:space="preserve">91678422007650235005</t>
  </si>
  <si>
    <t xml:space="preserve">93333422007950235008</t>
  </si>
  <si>
    <t xml:space="preserve">98478322007350235008</t>
  </si>
  <si>
    <t xml:space="preserve">96553710018450235000</t>
  </si>
  <si>
    <t xml:space="preserve">98351060001050235008</t>
  </si>
  <si>
    <t xml:space="preserve">93182680008850235002</t>
  </si>
  <si>
    <t xml:space="preserve">94220410002550235004</t>
  </si>
  <si>
    <t xml:space="preserve">95869810005550235001</t>
  </si>
  <si>
    <t xml:space="preserve">97423310004850235008</t>
  </si>
  <si>
    <t xml:space="preserve">91762810014550235001</t>
  </si>
  <si>
    <t xml:space="preserve">94192210009950235001</t>
  </si>
  <si>
    <t xml:space="preserve">90936920000850235003</t>
  </si>
  <si>
    <t xml:space="preserve">93304910010850235009</t>
  </si>
  <si>
    <t xml:space="preserve">98444924102750235003</t>
  </si>
  <si>
    <t xml:space="preserve">95136322001450235007</t>
  </si>
  <si>
    <t xml:space="preserve">94461224105350235006</t>
  </si>
  <si>
    <t xml:space="preserve">92733024104050235004</t>
  </si>
  <si>
    <t xml:space="preserve">92983624103750235003</t>
  </si>
  <si>
    <t xml:space="preserve">95092724101150235000</t>
  </si>
  <si>
    <t xml:space="preserve">94461024105350235008</t>
  </si>
  <si>
    <t xml:space="preserve">91264322002650235006</t>
  </si>
  <si>
    <t xml:space="preserve">95092924101150235008</t>
  </si>
  <si>
    <t xml:space="preserve">92022424104250235003</t>
  </si>
  <si>
    <t xml:space="preserve">94802510008450235004</t>
  </si>
  <si>
    <t xml:space="preserve">92787810014950235009</t>
  </si>
  <si>
    <t xml:space="preserve">94293110007750235004</t>
  </si>
  <si>
    <t xml:space="preserve">94201810009950235004</t>
  </si>
  <si>
    <t xml:space="preserve">91962110009550235008</t>
  </si>
  <si>
    <t xml:space="preserve">94859110016250235001</t>
  </si>
  <si>
    <t xml:space="preserve">91938510009550235009</t>
  </si>
  <si>
    <t xml:space="preserve">94882410002250235007</t>
  </si>
  <si>
    <t xml:space="preserve">97204710045650235004</t>
  </si>
  <si>
    <t xml:space="preserve">91345310009650235006</t>
  </si>
  <si>
    <r>
      <rPr>
        <sz val="18"/>
        <rFont val="標楷體"/>
        <family val="4"/>
        <charset val="136"/>
      </rPr>
      <t xml:space="preserve">10</t>
    </r>
    <r>
      <rPr>
        <sz val="18"/>
        <rFont val="WenQuanYi Zen Hei"/>
        <family val="2"/>
      </rPr>
      <t xml:space="preserve">月</t>
    </r>
  </si>
  <si>
    <t xml:space="preserve">75914310327450235003</t>
  </si>
  <si>
    <t xml:space="preserve">77328310327450235006</t>
  </si>
  <si>
    <t xml:space="preserve">77342710327450235008</t>
  </si>
  <si>
    <t xml:space="preserve">77344910327450235000</t>
  </si>
  <si>
    <t xml:space="preserve">77322510327450235002</t>
  </si>
  <si>
    <t xml:space="preserve">97077980045150235006</t>
  </si>
  <si>
    <t xml:space="preserve">77364310327450235004</t>
  </si>
  <si>
    <t xml:space="preserve">94197780005450235007</t>
  </si>
  <si>
    <t xml:space="preserve">92915640003850235004</t>
  </si>
  <si>
    <t xml:space="preserve">92983580001750235009</t>
  </si>
  <si>
    <t xml:space="preserve">94852910005250235006</t>
  </si>
  <si>
    <t xml:space="preserve">97356070445150235002</t>
  </si>
  <si>
    <t xml:space="preserve">92501340003950235001</t>
  </si>
  <si>
    <t xml:space="preserve">97356370445150235009</t>
  </si>
  <si>
    <t xml:space="preserve">90945720000850235007</t>
  </si>
  <si>
    <t xml:space="preserve">91465822001750235004</t>
  </si>
  <si>
    <t xml:space="preserve">98535124102750235006</t>
  </si>
  <si>
    <t xml:space="preserve">96630310018450235002</t>
  </si>
  <si>
    <t xml:space="preserve">93885180000650235003</t>
  </si>
  <si>
    <t xml:space="preserve">94420580003450235004</t>
  </si>
  <si>
    <t xml:space="preserve">93693030004750235007</t>
  </si>
  <si>
    <t xml:space="preserve">94324532000850235003</t>
  </si>
  <si>
    <t xml:space="preserve">94335533000550235001</t>
  </si>
  <si>
    <t xml:space="preserve">92078833000350235008</t>
  </si>
  <si>
    <t xml:space="preserve">98055832045050235008</t>
  </si>
  <si>
    <t xml:space="preserve">90588832002350235009</t>
  </si>
  <si>
    <t xml:space="preserve">93879780000650235006</t>
  </si>
  <si>
    <r>
      <rPr>
        <sz val="18"/>
        <rFont val="標楷體"/>
        <family val="4"/>
        <charset val="136"/>
      </rPr>
      <t xml:space="preserve">11</t>
    </r>
    <r>
      <rPr>
        <sz val="18"/>
        <rFont val="WenQuanYi Zen Hei"/>
        <family val="2"/>
      </rPr>
      <t xml:space="preserve">月</t>
    </r>
  </si>
  <si>
    <r>
      <rPr>
        <sz val="18"/>
        <rFont val="標楷體"/>
        <family val="4"/>
        <charset val="136"/>
      </rPr>
      <t xml:space="preserve">12</t>
    </r>
    <r>
      <rPr>
        <sz val="18"/>
        <rFont val="WenQuanYi Zen Hei"/>
        <family val="2"/>
      </rPr>
      <t xml:space="preserve">月</t>
    </r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</si>
</sst>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;\-0;;@"/>
    <numFmt numFmtId="166" formatCode="0%"/>
    <numFmt numFmtId="167" formatCode="0.0"/>
    <numFmt numFmtId="168" formatCode="@"/>
    <numFmt numFmtId="169" formatCode="m/d\ hh:mm"/>
    <numFmt numFmtId="170" formatCode="[&lt;1]hh:mm;m/d\ hh:mm"/>
    <numFmt numFmtId="171" formatCode="[h]:mm;&quot;錯誤&quot;"/>
  </numFmts>
  <fonts count="20">
    <font>
      <sz val="12"/>
      <name val="新細明體"/>
      <family val="1"/>
      <charset val="136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標楷體"/>
      <family val="4"/>
      <charset val="136"/>
    </font>
    <font>
      <sz val="24"/>
      <name val="WenQuanYi Zen Hei"/>
      <family val="2"/>
      <charset val="1"/>
    </font>
    <font>
      <sz val="24"/>
      <name val="標楷體"/>
      <family val="4"/>
      <charset val="136"/>
    </font>
    <font>
      <sz val="16"/>
      <name val="標楷體"/>
      <family val="4"/>
      <charset val="136"/>
    </font>
    <font>
      <sz val="18"/>
      <name val="標楷體"/>
      <family val="4"/>
      <charset val="136"/>
    </font>
    <font>
      <sz val="18"/>
      <name val="WenQuanYi Zen Hei"/>
      <family val="2"/>
    </font>
    <font>
      <sz val="16"/>
      <name val="WenQuanYi Zen Hei"/>
      <family val="2"/>
      <charset val="1"/>
    </font>
    <font>
      <sz val="12"/>
      <name val="WenQuanYi Zen Hei"/>
      <family val="2"/>
      <charset val="1"/>
    </font>
    <font>
      <sz val="12"/>
      <name val="WenQuanYi Zen Hei"/>
      <family val="2"/>
    </font>
    <font>
      <sz val="16"/>
      <name val="新細明體"/>
      <family val="1"/>
      <charset val="136"/>
    </font>
    <font>
      <sz val="14"/>
      <name val="標楷體"/>
      <family val="4"/>
      <charset val="136"/>
    </font>
    <font>
      <sz val="14"/>
      <name val="WenQuanYi Zen Hei"/>
      <family val="2"/>
      <charset val="1"/>
    </font>
    <font>
      <sz val="10"/>
      <name val="Arial"/>
      <family val="2"/>
    </font>
    <font>
      <sz val="10"/>
      <name val="WenQuanYi Zen Hei"/>
      <family val="2"/>
    </font>
    <font>
      <b val="true"/>
      <sz val="18"/>
      <name val="WenQuanYi Zen Hei"/>
      <family val="2"/>
      <charset val="1"/>
    </font>
    <font>
      <b val="true"/>
      <sz val="16"/>
      <name val="WenQuanYi Zen He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6" tint="0.5999"/>
        <bgColor rgb="FFFFE5CC"/>
      </patternFill>
    </fill>
    <fill>
      <patternFill patternType="solid">
        <fgColor theme="0"/>
        <bgColor rgb="FFFFE5CC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2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7" fontId="8" fillId="3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10" fillId="0" borderId="0" xfId="0" applyFont="true" applyBorder="false" applyAlignment="true" applyProtection="true">
      <alignment horizontal="right" vertical="center" textRotation="0" wrapText="false" indent="0" shrinkToFit="false"/>
      <protection locked="fals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E5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4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5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6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7.v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8.v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vmlDrawing" Target="../drawings/vmlDrawing9.v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vmlDrawing" Target="../drawings/vmlDrawing10.v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vmlDrawing" Target="../drawings/vmlDrawing11.v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comments" Target="../comments23.xml"/><Relationship Id="rId2" Type="http://schemas.openxmlformats.org/officeDocument/2006/relationships/vmlDrawing" Target="../drawings/vmlDrawing1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O1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F7" activeCellId="0" sqref="F7"/>
    </sheetView>
  </sheetViews>
  <sheetFormatPr defaultColWidth="8.87890625" defaultRowHeight="16.5" zeroHeight="false" outlineLevelRow="0" outlineLevelCol="0"/>
  <cols>
    <col collapsed="false" customWidth="true" hidden="false" outlineLevel="0" max="1" min="1" style="1" width="2.75"/>
    <col collapsed="false" customWidth="true" hidden="false" outlineLevel="0" max="2" min="2" style="1" width="21.5"/>
    <col collapsed="false" customWidth="true" hidden="false" outlineLevel="0" max="15" min="3" style="1" width="11"/>
    <col collapsed="false" customWidth="false" hidden="false" outlineLevel="0" max="16384" min="16" style="1" width="8.88"/>
  </cols>
  <sheetData>
    <row r="1" customFormat="false" ht="43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43.5" hidden="false" customHeight="true" outlineLevel="0" collapsed="false">
      <c r="A2" s="3"/>
      <c r="F2" s="4"/>
      <c r="G2" s="5" t="s">
        <v>1</v>
      </c>
      <c r="H2" s="6" t="s">
        <v>2</v>
      </c>
      <c r="I2" s="4"/>
    </row>
    <row r="3" customFormat="false" ht="48.75" hidden="false" customHeight="true" outlineLevel="0" collapsed="false">
      <c r="A3" s="7" t="s">
        <v>3</v>
      </c>
      <c r="B3" s="7"/>
      <c r="C3" s="8" t="s">
        <v>4</v>
      </c>
      <c r="D3" s="9" t="s">
        <v>5</v>
      </c>
      <c r="E3" s="10" t="s">
        <v>6</v>
      </c>
      <c r="F3" s="9" t="s">
        <v>7</v>
      </c>
      <c r="G3" s="10" t="s">
        <v>8</v>
      </c>
      <c r="H3" s="9" t="s">
        <v>9</v>
      </c>
      <c r="I3" s="10" t="s">
        <v>10</v>
      </c>
      <c r="J3" s="9" t="s">
        <v>11</v>
      </c>
      <c r="K3" s="10" t="s">
        <v>12</v>
      </c>
      <c r="L3" s="9" t="s">
        <v>13</v>
      </c>
      <c r="M3" s="10" t="s">
        <v>14</v>
      </c>
      <c r="N3" s="11" t="s">
        <v>15</v>
      </c>
      <c r="O3" s="8" t="s">
        <v>16</v>
      </c>
    </row>
    <row r="4" customFormat="false" ht="50.25" hidden="false" customHeight="true" outlineLevel="0" collapsed="false">
      <c r="A4" s="12" t="s">
        <v>17</v>
      </c>
      <c r="B4" s="12"/>
      <c r="C4" s="13" t="n">
        <f aca="false">D4+F4+H4+J4+L4</f>
        <v>0</v>
      </c>
      <c r="D4" s="14" t="n">
        <f aca="false">COUNTIF(01子本!$E$3:$E$17,"J+2")</f>
        <v>0</v>
      </c>
      <c r="E4" s="15" t="str">
        <f aca="false">IF($C4=0,"",D4/$C4)</f>
        <v/>
      </c>
      <c r="F4" s="14" t="n">
        <f aca="false">COUNTIF(01子本!$E$3:$E$17,"J+4")</f>
        <v>0</v>
      </c>
      <c r="G4" s="15" t="str">
        <f aca="false">IF($C4=0,"",F4/$C4)</f>
        <v/>
      </c>
      <c r="H4" s="14" t="n">
        <f aca="false">COUNTIF(01子本!$E$3:$E$17,"J+6")</f>
        <v>0</v>
      </c>
      <c r="I4" s="15" t="str">
        <f aca="false">IF($C4=0,"",H4/$C4)</f>
        <v/>
      </c>
      <c r="J4" s="14" t="n">
        <f aca="false">COUNTIF(01子本!$E$3:$E$17,"J+8")</f>
        <v>0</v>
      </c>
      <c r="K4" s="15" t="str">
        <f aca="false">IF($C4=0,"",J4/$C4)</f>
        <v/>
      </c>
      <c r="L4" s="14" t="n">
        <f aca="false">COUNTIF(01子本!$E$3:$E$17,"8以上")</f>
        <v>0</v>
      </c>
      <c r="M4" s="15" t="str">
        <f aca="false">IF($C4=0,"",L4/$C4)</f>
        <v/>
      </c>
      <c r="N4" s="16" t="n">
        <v>1</v>
      </c>
      <c r="O4" s="17" t="str">
        <f aca="false">IF($C4=0,"",(D4*2+F4*4+H4*6+J4*8+L4*8)/$C4)</f>
        <v/>
      </c>
    </row>
    <row r="5" customFormat="false" ht="50.25" hidden="false" customHeight="true" outlineLevel="0" collapsed="false">
      <c r="A5" s="12" t="s">
        <v>18</v>
      </c>
      <c r="B5" s="12"/>
      <c r="C5" s="13" t="n">
        <f aca="false">D5+F5+H5+J5+L5</f>
        <v>0</v>
      </c>
      <c r="D5" s="14" t="n">
        <f aca="false">COUNTIF(01子本!$E$23:$E$37,"J+2")</f>
        <v>0</v>
      </c>
      <c r="E5" s="15" t="str">
        <f aca="false">IF($C5=0,"",D5/$C5)</f>
        <v/>
      </c>
      <c r="F5" s="14" t="n">
        <f aca="false">COUNTIF(01子本!$E$23:$E$37,"J+4")</f>
        <v>0</v>
      </c>
      <c r="G5" s="15" t="str">
        <f aca="false">IF($C5=0,"",F5/$C5)</f>
        <v/>
      </c>
      <c r="H5" s="14" t="n">
        <f aca="false">COUNTIF(01子本!$E$23:$E$37,"J+6")</f>
        <v>0</v>
      </c>
      <c r="I5" s="15" t="str">
        <f aca="false">IF($C5=0,"",H5/$C5)</f>
        <v/>
      </c>
      <c r="J5" s="14" t="n">
        <f aca="false">COUNTIF(01子本!$E$23:$E$37,"J+8")</f>
        <v>0</v>
      </c>
      <c r="K5" s="15" t="str">
        <f aca="false">IF($C5=0,"",J5/$C5)</f>
        <v/>
      </c>
      <c r="L5" s="14" t="n">
        <f aca="false">COUNTIF(01子本!$E$23:$E$37,"8以上")</f>
        <v>0</v>
      </c>
      <c r="M5" s="15" t="str">
        <f aca="false">IF($C5=0,"",L5/$C5)</f>
        <v/>
      </c>
      <c r="N5" s="16" t="n">
        <v>1</v>
      </c>
      <c r="O5" s="17" t="str">
        <f aca="false">IF($C5=0,"",(D5*2+F5*4+H5*6+J5*8+L5*8)/$C5)</f>
        <v/>
      </c>
    </row>
    <row r="6" customFormat="false" ht="54.75" hidden="false" customHeight="true" outlineLevel="0" collapsed="false">
      <c r="A6" s="18" t="s">
        <v>19</v>
      </c>
      <c r="B6" s="18"/>
      <c r="C6" s="13" t="n">
        <f aca="false">D6+F6+H6+J6+L6</f>
        <v>0</v>
      </c>
      <c r="D6" s="14" t="n">
        <f aca="false">COUNTIF(01子本!$E$43:$E$57,"J+2")</f>
        <v>0</v>
      </c>
      <c r="E6" s="15" t="str">
        <f aca="false">IF($C6=0,"",D6/$C6)</f>
        <v/>
      </c>
      <c r="F6" s="14" t="n">
        <f aca="false">COUNTIF(01子本!$E$43:$E$57,"J+4")</f>
        <v>0</v>
      </c>
      <c r="G6" s="15" t="str">
        <f aca="false">IF($C6=0,"",F6/$C6)</f>
        <v/>
      </c>
      <c r="H6" s="14" t="n">
        <f aca="false">COUNTIF(01子本!$E$43:$E$57,"J+6")</f>
        <v>0</v>
      </c>
      <c r="I6" s="15" t="str">
        <f aca="false">IF($C6=0,"",H6/$C6)</f>
        <v/>
      </c>
      <c r="J6" s="14" t="n">
        <f aca="false">COUNTIF(01子本!$E$43:$E$57,"J+8")</f>
        <v>0</v>
      </c>
      <c r="K6" s="15" t="str">
        <f aca="false">IF($C6=0,"",J6/$C6)</f>
        <v/>
      </c>
      <c r="L6" s="14" t="n">
        <f aca="false">COUNTIF(01子本!$E$43:$E$57,"8以上")</f>
        <v>0</v>
      </c>
      <c r="M6" s="15" t="str">
        <f aca="false">IF($C6=0,"",L6/$C6)</f>
        <v/>
      </c>
      <c r="N6" s="16" t="n">
        <v>1</v>
      </c>
      <c r="O6" s="17" t="str">
        <f aca="false">IF($C6=0,"",(D6*2+F6*4+H6*6+J6*8+L6*8)/$C6)</f>
        <v/>
      </c>
    </row>
    <row r="7" customFormat="false" ht="50.25" hidden="false" customHeight="true" outlineLevel="0" collapsed="false">
      <c r="A7" s="19" t="s">
        <v>20</v>
      </c>
      <c r="B7" s="19"/>
      <c r="C7" s="13" t="n">
        <f aca="false">D7+F7+H7+J7+L7</f>
        <v>0</v>
      </c>
      <c r="D7" s="14" t="n">
        <f aca="false">COUNTIF(01子本!$E$63:$E$77,"J+2")</f>
        <v>0</v>
      </c>
      <c r="E7" s="15" t="str">
        <f aca="false">IF($C7=0,"",D7/$C7)</f>
        <v/>
      </c>
      <c r="F7" s="14" t="n">
        <f aca="false">COUNTIF(01子本!$E$63:$E$77,"J+4")</f>
        <v>0</v>
      </c>
      <c r="G7" s="15" t="str">
        <f aca="false">IF($C7=0,"",F7/$C7)</f>
        <v/>
      </c>
      <c r="H7" s="14" t="n">
        <f aca="false">COUNTIF(01子本!$E$63:$E$77,"J+6")</f>
        <v>0</v>
      </c>
      <c r="I7" s="15" t="str">
        <f aca="false">IF($C7=0,"",H7/$C7)</f>
        <v/>
      </c>
      <c r="J7" s="14" t="n">
        <f aca="false">COUNTIF(01子本!$E$63:$E$77,"J+8")</f>
        <v>0</v>
      </c>
      <c r="K7" s="15" t="str">
        <f aca="false">IF($C7=0,"",J7/$C7)</f>
        <v/>
      </c>
      <c r="L7" s="14" t="n">
        <f aca="false">COUNTIF(01子本!$E$63:$E$77,"8以上")</f>
        <v>0</v>
      </c>
      <c r="M7" s="15" t="str">
        <f aca="false">IF($C7=0,"",L7/$C7)</f>
        <v/>
      </c>
      <c r="N7" s="20" t="n">
        <v>1</v>
      </c>
      <c r="O7" s="17" t="str">
        <f aca="false">IF($C7=0,"",(D7*2+F7*4+H7*6+J7*8+L7*8)/$C7)</f>
        <v/>
      </c>
    </row>
    <row r="8" customFormat="false" ht="21" hidden="false" customHeight="true" outlineLevel="0" collapsed="false">
      <c r="A8" s="21" t="s">
        <v>21</v>
      </c>
      <c r="B8" s="21"/>
      <c r="C8" s="22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</row>
    <row r="9" customFormat="false" ht="60.75" hidden="false" customHeight="true" outlineLevel="0" collapsed="false">
      <c r="A9" s="24" t="n">
        <v>1</v>
      </c>
      <c r="B9" s="25" t="s">
        <v>22</v>
      </c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</row>
    <row r="10" customFormat="false" ht="21" hidden="false" customHeight="true" outlineLevel="0" collapsed="false">
      <c r="A10" s="24" t="n">
        <v>2</v>
      </c>
      <c r="B10" s="26" t="s">
        <v>23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</row>
    <row r="11" customFormat="false" ht="39" hidden="false" customHeight="true" outlineLevel="0" collapsed="false">
      <c r="A11" s="24" t="n">
        <v>3</v>
      </c>
      <c r="B11" s="25" t="s">
        <v>24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customFormat="false" ht="39.75" hidden="false" customHeight="true" outlineLevel="0" collapsed="false">
      <c r="A12" s="24" t="n">
        <v>4</v>
      </c>
      <c r="B12" s="25" t="s">
        <v>25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</row>
    <row r="13" customFormat="false" ht="40.5" hidden="false" customHeight="true" outlineLevel="0" collapsed="false">
      <c r="A13" s="24" t="n">
        <v>5</v>
      </c>
      <c r="B13" s="25" t="s">
        <v>26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</row>
    <row r="14" customFormat="false" ht="21" hidden="false" customHeight="true" outlineLevel="0" collapsed="false">
      <c r="B14" s="27" t="s">
        <v>27</v>
      </c>
      <c r="C14" s="27"/>
      <c r="D14" s="28"/>
      <c r="E14" s="28"/>
      <c r="F14" s="29" t="s">
        <v>28</v>
      </c>
      <c r="G14" s="29"/>
      <c r="H14" s="30"/>
      <c r="I14" s="30"/>
      <c r="J14" s="31"/>
      <c r="K14" s="31"/>
      <c r="O14" s="28"/>
    </row>
  </sheetData>
  <mergeCells count="12">
    <mergeCell ref="A1:M1"/>
    <mergeCell ref="A3:B3"/>
    <mergeCell ref="A4:B4"/>
    <mergeCell ref="A5:B5"/>
    <mergeCell ref="A6:B6"/>
    <mergeCell ref="A7:B7"/>
    <mergeCell ref="A8:B8"/>
    <mergeCell ref="B9:O9"/>
    <mergeCell ref="B10:O10"/>
    <mergeCell ref="B11:O11"/>
    <mergeCell ref="B12:O12"/>
    <mergeCell ref="B13:O13"/>
  </mergeCells>
  <printOptions headings="false" gridLines="false" gridLinesSet="true" horizontalCentered="true" verticalCentered="true"/>
  <pageMargins left="0.157638888888889" right="0.551388888888889" top="0.196527777777778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E5CC"/>
    <pageSetUpPr fitToPage="false"/>
  </sheetPr>
  <dimension ref="A1:E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" defaultRowHeight="21" zeroHeight="false" outlineLevelRow="0" outlineLevelCol="0"/>
  <cols>
    <col collapsed="false" customWidth="true" hidden="false" outlineLevel="0" max="1" min="1" style="32" width="34.63"/>
    <col collapsed="false" customWidth="true" hidden="false" outlineLevel="0" max="3" min="2" style="32" width="17.63"/>
    <col collapsed="false" customWidth="true" hidden="false" outlineLevel="0" max="5" min="4" style="32" width="9.63"/>
    <col collapsed="false" customWidth="false" hidden="false" outlineLevel="0" max="16384" min="6" style="32" width="9"/>
  </cols>
  <sheetData>
    <row r="1" customFormat="false" ht="39.75" hidden="false" customHeight="true" outlineLevel="0" collapsed="false">
      <c r="A1" s="33" t="str">
        <f aca="false">"中和郵務股"&amp;'01'!$G$2&amp;'01'!$H$2&amp;"份 本口 快捷郵遞時效表"</f>
        <v>中和郵務股115年1月份 本口 快捷郵遞時效表</v>
      </c>
      <c r="B1" s="33"/>
      <c r="C1" s="33"/>
      <c r="D1" s="33"/>
      <c r="E1" s="33"/>
    </row>
    <row r="2" customFormat="false" ht="30" hidden="false" customHeight="true" outlineLevel="0" collapsed="false">
      <c r="A2" s="34" t="s">
        <v>29</v>
      </c>
      <c r="B2" s="34" t="s">
        <v>30</v>
      </c>
      <c r="C2" s="34" t="s">
        <v>31</v>
      </c>
      <c r="D2" s="34" t="s">
        <v>32</v>
      </c>
      <c r="E2" s="34" t="s">
        <v>33</v>
      </c>
    </row>
    <row r="3" customFormat="false" ht="30" hidden="false" customHeight="true" outlineLevel="0" collapsed="false">
      <c r="A3" s="35"/>
      <c r="B3" s="36"/>
      <c r="C3" s="37"/>
      <c r="D3" s="38" t="str">
        <f aca="false">IF(OR(B3="",C3=""),"",ROUND((IF(C3&lt;1,INT(B3)+C3,C3)-B3)*1440,0)/1440)</f>
        <v/>
      </c>
      <c r="E3" s="39" t="str">
        <f aca="false">IF(D3="","",IF(D3&lt;0,"打日期",IF(D3*1440&lt;=120,"J+2",IF(D3*1440&lt;=240,"J+4",IF(D3*1440&lt;=360,"J+6",IF(D3*1440&lt;=480,"J+8","8以上"))))))</f>
        <v/>
      </c>
    </row>
    <row r="4" customFormat="false" ht="30" hidden="false" customHeight="true" outlineLevel="0" collapsed="false">
      <c r="A4" s="35"/>
      <c r="B4" s="36"/>
      <c r="C4" s="37"/>
      <c r="D4" s="38" t="str">
        <f aca="false">IF(OR(B4="",C4=""),"",ROUND((IF(C4&lt;1,INT(B4)+C4,C4)-B4)*1440,0)/1440)</f>
        <v/>
      </c>
      <c r="E4" s="39" t="str">
        <f aca="false">IF(D4="","",IF(D4&lt;0,"打日期",IF(D4*1440&lt;=120,"J+2",IF(D4*1440&lt;=240,"J+4",IF(D4*1440&lt;=360,"J+6",IF(D4*1440&lt;=480,"J+8","8以上"))))))</f>
        <v/>
      </c>
    </row>
    <row r="5" customFormat="false" ht="30" hidden="false" customHeight="true" outlineLevel="0" collapsed="false">
      <c r="A5" s="35"/>
      <c r="B5" s="36"/>
      <c r="C5" s="37"/>
      <c r="D5" s="38" t="str">
        <f aca="false">IF(OR(B5="",C5=""),"",ROUND((IF(C5&lt;1,INT(B5)+C5,C5)-B5)*1440,0)/1440)</f>
        <v/>
      </c>
      <c r="E5" s="39" t="str">
        <f aca="false">IF(D5="","",IF(D5&lt;0,"打日期",IF(D5*1440&lt;=120,"J+2",IF(D5*1440&lt;=240,"J+4",IF(D5*1440&lt;=360,"J+6",IF(D5*1440&lt;=480,"J+8","8以上"))))))</f>
        <v/>
      </c>
    </row>
    <row r="6" customFormat="false" ht="30" hidden="false" customHeight="true" outlineLevel="0" collapsed="false">
      <c r="A6" s="35"/>
      <c r="B6" s="36"/>
      <c r="C6" s="37"/>
      <c r="D6" s="38" t="str">
        <f aca="false">IF(OR(B6="",C6=""),"",ROUND((IF(C6&lt;1,INT(B6)+C6,C6)-B6)*1440,0)/1440)</f>
        <v/>
      </c>
      <c r="E6" s="39" t="str">
        <f aca="false">IF(D6="","",IF(D6&lt;0,"打日期",IF(D6*1440&lt;=120,"J+2",IF(D6*1440&lt;=240,"J+4",IF(D6*1440&lt;=360,"J+6",IF(D6*1440&lt;=480,"J+8","8以上"))))))</f>
        <v/>
      </c>
    </row>
    <row r="7" customFormat="false" ht="30" hidden="false" customHeight="true" outlineLevel="0" collapsed="false">
      <c r="A7" s="35"/>
      <c r="B7" s="36"/>
      <c r="C7" s="37"/>
      <c r="D7" s="38" t="str">
        <f aca="false">IF(OR(B7="",C7=""),"",ROUND((IF(C7&lt;1,INT(B7)+C7,C7)-B7)*1440,0)/1440)</f>
        <v/>
      </c>
      <c r="E7" s="39" t="str">
        <f aca="false">IF(D7="","",IF(D7&lt;0,"打日期",IF(D7*1440&lt;=120,"J+2",IF(D7*1440&lt;=240,"J+4",IF(D7*1440&lt;=360,"J+6",IF(D7*1440&lt;=480,"J+8","8以上"))))))</f>
        <v/>
      </c>
    </row>
    <row r="8" customFormat="false" ht="30" hidden="false" customHeight="true" outlineLevel="0" collapsed="false">
      <c r="A8" s="35"/>
      <c r="B8" s="36"/>
      <c r="C8" s="37"/>
      <c r="D8" s="38" t="str">
        <f aca="false">IF(OR(B8="",C8=""),"",ROUND((IF(C8&lt;1,INT(B8)+C8,C8)-B8)*1440,0)/1440)</f>
        <v/>
      </c>
      <c r="E8" s="39" t="str">
        <f aca="false">IF(D8="","",IF(D8&lt;0,"打日期",IF(D8*1440&lt;=120,"J+2",IF(D8*1440&lt;=240,"J+4",IF(D8*1440&lt;=360,"J+6",IF(D8*1440&lt;=480,"J+8","8以上"))))))</f>
        <v/>
      </c>
    </row>
    <row r="9" customFormat="false" ht="30" hidden="false" customHeight="true" outlineLevel="0" collapsed="false">
      <c r="A9" s="35"/>
      <c r="B9" s="36"/>
      <c r="C9" s="37"/>
      <c r="D9" s="38" t="str">
        <f aca="false">IF(OR(B9="",C9=""),"",ROUND((IF(C9&lt;1,INT(B9)+C9,C9)-B9)*1440,0)/1440)</f>
        <v/>
      </c>
      <c r="E9" s="39" t="str">
        <f aca="false">IF(D9="","",IF(D9&lt;0,"打日期",IF(D9*1440&lt;=120,"J+2",IF(D9*1440&lt;=240,"J+4",IF(D9*1440&lt;=360,"J+6",IF(D9*1440&lt;=480,"J+8","8以上"))))))</f>
        <v/>
      </c>
    </row>
    <row r="10" customFormat="false" ht="30" hidden="false" customHeight="true" outlineLevel="0" collapsed="false">
      <c r="A10" s="35"/>
      <c r="B10" s="36"/>
      <c r="C10" s="37"/>
      <c r="D10" s="38" t="str">
        <f aca="false">IF(OR(B10="",C10=""),"",ROUND((IF(C10&lt;1,INT(B10)+C10,C10)-B10)*1440,0)/1440)</f>
        <v/>
      </c>
      <c r="E10" s="39" t="str">
        <f aca="false">IF(D10="","",IF(D10&lt;0,"打日期",IF(D10*1440&lt;=120,"J+2",IF(D10*1440&lt;=240,"J+4",IF(D10*1440&lt;=360,"J+6",IF(D10*1440&lt;=480,"J+8","8以上"))))))</f>
        <v/>
      </c>
    </row>
    <row r="11" customFormat="false" ht="30" hidden="false" customHeight="true" outlineLevel="0" collapsed="false">
      <c r="A11" s="35"/>
      <c r="B11" s="36"/>
      <c r="C11" s="37"/>
      <c r="D11" s="38" t="str">
        <f aca="false">IF(OR(B11="",C11=""),"",ROUND((IF(C11&lt;1,INT(B11)+C11,C11)-B11)*1440,0)/1440)</f>
        <v/>
      </c>
      <c r="E11" s="39" t="str">
        <f aca="false">IF(D11="","",IF(D11&lt;0,"打日期",IF(D11*1440&lt;=120,"J+2",IF(D11*1440&lt;=240,"J+4",IF(D11*1440&lt;=360,"J+6",IF(D11*1440&lt;=480,"J+8","8以上"))))))</f>
        <v/>
      </c>
    </row>
    <row r="12" customFormat="false" ht="30" hidden="false" customHeight="true" outlineLevel="0" collapsed="false">
      <c r="A12" s="35"/>
      <c r="B12" s="36"/>
      <c r="C12" s="37"/>
      <c r="D12" s="38" t="str">
        <f aca="false">IF(OR(B12="",C12=""),"",ROUND((IF(C12&lt;1,INT(B12)+C12,C12)-B12)*1440,0)/1440)</f>
        <v/>
      </c>
      <c r="E12" s="39" t="str">
        <f aca="false">IF(D12="","",IF(D12&lt;0,"打日期",IF(D12*1440&lt;=120,"J+2",IF(D12*1440&lt;=240,"J+4",IF(D12*1440&lt;=360,"J+6",IF(D12*1440&lt;=480,"J+8","8以上"))))))</f>
        <v/>
      </c>
    </row>
    <row r="13" customFormat="false" ht="30" hidden="false" customHeight="true" outlineLevel="0" collapsed="false">
      <c r="A13" s="35"/>
      <c r="B13" s="36"/>
      <c r="C13" s="37"/>
      <c r="D13" s="38" t="str">
        <f aca="false">IF(OR(B13="",C13=""),"",ROUND((IF(C13&lt;1,INT(B13)+C13,C13)-B13)*1440,0)/1440)</f>
        <v/>
      </c>
      <c r="E13" s="39" t="str">
        <f aca="false">IF(D13="","",IF(D13&lt;0,"打日期",IF(D13*1440&lt;=120,"J+2",IF(D13*1440&lt;=240,"J+4",IF(D13*1440&lt;=360,"J+6",IF(D13*1440&lt;=480,"J+8","8以上"))))))</f>
        <v/>
      </c>
    </row>
    <row r="14" customFormat="false" ht="30" hidden="false" customHeight="true" outlineLevel="0" collapsed="false">
      <c r="A14" s="35"/>
      <c r="B14" s="36"/>
      <c r="C14" s="37"/>
      <c r="D14" s="38" t="str">
        <f aca="false">IF(OR(B14="",C14=""),"",ROUND((IF(C14&lt;1,INT(B14)+C14,C14)-B14)*1440,0)/1440)</f>
        <v/>
      </c>
      <c r="E14" s="39" t="str">
        <f aca="false">IF(D14="","",IF(D14&lt;0,"打日期",IF(D14*1440&lt;=120,"J+2",IF(D14*1440&lt;=240,"J+4",IF(D14*1440&lt;=360,"J+6",IF(D14*1440&lt;=480,"J+8","8以上"))))))</f>
        <v/>
      </c>
    </row>
    <row r="15" customFormat="false" ht="30" hidden="false" customHeight="true" outlineLevel="0" collapsed="false">
      <c r="A15" s="35"/>
      <c r="B15" s="36"/>
      <c r="C15" s="37"/>
      <c r="D15" s="38" t="str">
        <f aca="false">IF(OR(B15="",C15=""),"",ROUND((IF(C15&lt;1,INT(B15)+C15,C15)-B15)*1440,0)/1440)</f>
        <v/>
      </c>
      <c r="E15" s="39" t="str">
        <f aca="false">IF(D15="","",IF(D15&lt;0,"打日期",IF(D15*1440&lt;=120,"J+2",IF(D15*1440&lt;=240,"J+4",IF(D15*1440&lt;=360,"J+6",IF(D15*1440&lt;=480,"J+8","8以上"))))))</f>
        <v/>
      </c>
    </row>
    <row r="16" customFormat="false" ht="30" hidden="false" customHeight="true" outlineLevel="0" collapsed="false">
      <c r="A16" s="35"/>
      <c r="B16" s="36"/>
      <c r="C16" s="37"/>
      <c r="D16" s="38" t="str">
        <f aca="false">IF(OR(B16="",C16=""),"",ROUND((IF(C16&lt;1,INT(B16)+C16,C16)-B16)*1440,0)/1440)</f>
        <v/>
      </c>
      <c r="E16" s="39" t="str">
        <f aca="false">IF(D16="","",IF(D16&lt;0,"打日期",IF(D16*1440&lt;=120,"J+2",IF(D16*1440&lt;=240,"J+4",IF(D16*1440&lt;=360,"J+6",IF(D16*1440&lt;=480,"J+8","8以上"))))))</f>
        <v/>
      </c>
    </row>
    <row r="17" customFormat="false" ht="30" hidden="false" customHeight="true" outlineLevel="0" collapsed="false">
      <c r="A17" s="35"/>
      <c r="B17" s="36"/>
      <c r="C17" s="37"/>
      <c r="D17" s="38" t="str">
        <f aca="false">IF(OR(B17="",C17=""),"",ROUND((IF(C17&lt;1,INT(B17)+C17,C17)-B17)*1440,0)/1440)</f>
        <v/>
      </c>
      <c r="E17" s="39" t="str">
        <f aca="false">IF(D17="","",IF(D17&lt;0,"打日期",IF(D17*1440&lt;=120,"J+2",IF(D17*1440&lt;=240,"J+4",IF(D17*1440&lt;=360,"J+6",IF(D17*1440&lt;=480,"J+8","8以上"))))))</f>
        <v/>
      </c>
    </row>
    <row r="18" customFormat="false" ht="75" hidden="false" customHeight="true" outlineLevel="0" collapsed="false">
      <c r="A18" s="40" t="s">
        <v>34</v>
      </c>
      <c r="B18" s="40"/>
      <c r="C18" s="40"/>
      <c r="D18" s="40"/>
      <c r="E18" s="40"/>
    </row>
    <row r="20" customFormat="false" ht="21" hidden="false" customHeight="true" outlineLevel="0" collapsed="false">
      <c r="A20" s="41" t="s">
        <v>35</v>
      </c>
      <c r="C20" s="41" t="s">
        <v>28</v>
      </c>
    </row>
    <row r="21" customFormat="false" ht="39.75" hidden="false" customHeight="true" outlineLevel="0" collapsed="false">
      <c r="A21" s="33" t="str">
        <f aca="false">"中和郵務股"&amp;'01'!$G$2&amp;'01'!$H$2&amp;"份 十大都會區 快捷郵遞時效表"</f>
        <v>中和郵務股115年1月份 十大都會區 快捷郵遞時效表</v>
      </c>
      <c r="B21" s="33"/>
      <c r="C21" s="33"/>
      <c r="D21" s="33"/>
      <c r="E21" s="33"/>
    </row>
    <row r="22" customFormat="false" ht="30" hidden="false" customHeight="true" outlineLevel="0" collapsed="false">
      <c r="A22" s="34" t="s">
        <v>29</v>
      </c>
      <c r="B22" s="34" t="s">
        <v>30</v>
      </c>
      <c r="C22" s="34" t="s">
        <v>31</v>
      </c>
      <c r="D22" s="34" t="s">
        <v>32</v>
      </c>
      <c r="E22" s="34" t="s">
        <v>33</v>
      </c>
    </row>
    <row r="23" customFormat="false" ht="30" hidden="false" customHeight="true" outlineLevel="0" collapsed="false">
      <c r="A23" s="35"/>
      <c r="B23" s="36"/>
      <c r="C23" s="37"/>
      <c r="D23" s="38" t="str">
        <f aca="false">IF(OR(B23="",C23=""),"",ROUND((IF(C23&lt;1,INT(B23)+C23,C23)-B23)*1440,0)/1440)</f>
        <v/>
      </c>
      <c r="E23" s="39" t="str">
        <f aca="false">IF(D23="","",IF(D23&lt;0,"打日期",IF(D23*1440&lt;=120,"J+2",IF(D23*1440&lt;=240,"J+4",IF(D23*1440&lt;=360,"J+6",IF(D23*1440&lt;=480,"J+8","8以上"))))))</f>
        <v/>
      </c>
    </row>
    <row r="24" customFormat="false" ht="30" hidden="false" customHeight="true" outlineLevel="0" collapsed="false">
      <c r="A24" s="35"/>
      <c r="B24" s="36"/>
      <c r="C24" s="37"/>
      <c r="D24" s="38" t="str">
        <f aca="false">IF(OR(B24="",C24=""),"",ROUND((IF(C24&lt;1,INT(B24)+C24,C24)-B24)*1440,0)/1440)</f>
        <v/>
      </c>
      <c r="E24" s="39" t="str">
        <f aca="false">IF(D24="","",IF(D24&lt;0,"打日期",IF(D24*1440&lt;=120,"J+2",IF(D24*1440&lt;=240,"J+4",IF(D24*1440&lt;=360,"J+6",IF(D24*1440&lt;=480,"J+8","8以上"))))))</f>
        <v/>
      </c>
    </row>
    <row r="25" customFormat="false" ht="30" hidden="false" customHeight="true" outlineLevel="0" collapsed="false">
      <c r="A25" s="35"/>
      <c r="B25" s="36"/>
      <c r="C25" s="37"/>
      <c r="D25" s="38" t="str">
        <f aca="false">IF(OR(B25="",C25=""),"",ROUND((IF(C25&lt;1,INT(B25)+C25,C25)-B25)*1440,0)/1440)</f>
        <v/>
      </c>
      <c r="E25" s="39" t="str">
        <f aca="false">IF(D25="","",IF(D25&lt;0,"打日期",IF(D25*1440&lt;=120,"J+2",IF(D25*1440&lt;=240,"J+4",IF(D25*1440&lt;=360,"J+6",IF(D25*1440&lt;=480,"J+8","8以上"))))))</f>
        <v/>
      </c>
    </row>
    <row r="26" customFormat="false" ht="30" hidden="false" customHeight="true" outlineLevel="0" collapsed="false">
      <c r="A26" s="35"/>
      <c r="B26" s="36"/>
      <c r="C26" s="37"/>
      <c r="D26" s="38" t="str">
        <f aca="false">IF(OR(B26="",C26=""),"",ROUND((IF(C26&lt;1,INT(B26)+C26,C26)-B26)*1440,0)/1440)</f>
        <v/>
      </c>
      <c r="E26" s="39" t="str">
        <f aca="false">IF(D26="","",IF(D26&lt;0,"打日期",IF(D26*1440&lt;=120,"J+2",IF(D26*1440&lt;=240,"J+4",IF(D26*1440&lt;=360,"J+6",IF(D26*1440&lt;=480,"J+8","8以上"))))))</f>
        <v/>
      </c>
    </row>
    <row r="27" customFormat="false" ht="30" hidden="false" customHeight="true" outlineLevel="0" collapsed="false">
      <c r="A27" s="35"/>
      <c r="B27" s="36"/>
      <c r="C27" s="37"/>
      <c r="D27" s="38" t="str">
        <f aca="false">IF(OR(B27="",C27=""),"",ROUND((IF(C27&lt;1,INT(B27)+C27,C27)-B27)*1440,0)/1440)</f>
        <v/>
      </c>
      <c r="E27" s="39" t="str">
        <f aca="false">IF(D27="","",IF(D27&lt;0,"打日期",IF(D27*1440&lt;=120,"J+2",IF(D27*1440&lt;=240,"J+4",IF(D27*1440&lt;=360,"J+6",IF(D27*1440&lt;=480,"J+8","8以上"))))))</f>
        <v/>
      </c>
    </row>
    <row r="28" customFormat="false" ht="30" hidden="false" customHeight="true" outlineLevel="0" collapsed="false">
      <c r="A28" s="35"/>
      <c r="B28" s="36"/>
      <c r="C28" s="37"/>
      <c r="D28" s="38" t="str">
        <f aca="false">IF(OR(B28="",C28=""),"",ROUND((IF(C28&lt;1,INT(B28)+C28,C28)-B28)*1440,0)/1440)</f>
        <v/>
      </c>
      <c r="E28" s="39" t="str">
        <f aca="false">IF(D28="","",IF(D28&lt;0,"打日期",IF(D28*1440&lt;=120,"J+2",IF(D28*1440&lt;=240,"J+4",IF(D28*1440&lt;=360,"J+6",IF(D28*1440&lt;=480,"J+8","8以上"))))))</f>
        <v/>
      </c>
    </row>
    <row r="29" customFormat="false" ht="30" hidden="false" customHeight="true" outlineLevel="0" collapsed="false">
      <c r="A29" s="35"/>
      <c r="B29" s="36"/>
      <c r="C29" s="37"/>
      <c r="D29" s="38" t="str">
        <f aca="false">IF(OR(B29="",C29=""),"",ROUND((IF(C29&lt;1,INT(B29)+C29,C29)-B29)*1440,0)/1440)</f>
        <v/>
      </c>
      <c r="E29" s="39" t="str">
        <f aca="false">IF(D29="","",IF(D29&lt;0,"打日期",IF(D29*1440&lt;=120,"J+2",IF(D29*1440&lt;=240,"J+4",IF(D29*1440&lt;=360,"J+6",IF(D29*1440&lt;=480,"J+8","8以上"))))))</f>
        <v/>
      </c>
    </row>
    <row r="30" customFormat="false" ht="30" hidden="false" customHeight="true" outlineLevel="0" collapsed="false">
      <c r="A30" s="35"/>
      <c r="B30" s="36"/>
      <c r="C30" s="37"/>
      <c r="D30" s="38" t="str">
        <f aca="false">IF(OR(B30="",C30=""),"",ROUND((IF(C30&lt;1,INT(B30)+C30,C30)-B30)*1440,0)/1440)</f>
        <v/>
      </c>
      <c r="E30" s="39" t="str">
        <f aca="false">IF(D30="","",IF(D30&lt;0,"打日期",IF(D30*1440&lt;=120,"J+2",IF(D30*1440&lt;=240,"J+4",IF(D30*1440&lt;=360,"J+6",IF(D30*1440&lt;=480,"J+8","8以上"))))))</f>
        <v/>
      </c>
    </row>
    <row r="31" customFormat="false" ht="30" hidden="false" customHeight="true" outlineLevel="0" collapsed="false">
      <c r="A31" s="35"/>
      <c r="B31" s="36"/>
      <c r="C31" s="37"/>
      <c r="D31" s="38" t="str">
        <f aca="false">IF(OR(B31="",C31=""),"",ROUND((IF(C31&lt;1,INT(B31)+C31,C31)-B31)*1440,0)/1440)</f>
        <v/>
      </c>
      <c r="E31" s="39" t="str">
        <f aca="false">IF(D31="","",IF(D31&lt;0,"打日期",IF(D31*1440&lt;=120,"J+2",IF(D31*1440&lt;=240,"J+4",IF(D31*1440&lt;=360,"J+6",IF(D31*1440&lt;=480,"J+8","8以上"))))))</f>
        <v/>
      </c>
    </row>
    <row r="32" customFormat="false" ht="30" hidden="false" customHeight="true" outlineLevel="0" collapsed="false">
      <c r="A32" s="35"/>
      <c r="B32" s="36"/>
      <c r="C32" s="37"/>
      <c r="D32" s="38" t="str">
        <f aca="false">IF(OR(B32="",C32=""),"",ROUND((IF(C32&lt;1,INT(B32)+C32,C32)-B32)*1440,0)/1440)</f>
        <v/>
      </c>
      <c r="E32" s="39" t="str">
        <f aca="false">IF(D32="","",IF(D32&lt;0,"打日期",IF(D32*1440&lt;=120,"J+2",IF(D32*1440&lt;=240,"J+4",IF(D32*1440&lt;=360,"J+6",IF(D32*1440&lt;=480,"J+8","8以上"))))))</f>
        <v/>
      </c>
    </row>
    <row r="33" customFormat="false" ht="30" hidden="false" customHeight="true" outlineLevel="0" collapsed="false">
      <c r="A33" s="35"/>
      <c r="B33" s="36"/>
      <c r="C33" s="37"/>
      <c r="D33" s="38" t="str">
        <f aca="false">IF(OR(B33="",C33=""),"",ROUND((IF(C33&lt;1,INT(B33)+C33,C33)-B33)*1440,0)/1440)</f>
        <v/>
      </c>
      <c r="E33" s="39" t="str">
        <f aca="false">IF(D33="","",IF(D33&lt;0,"打日期",IF(D33*1440&lt;=120,"J+2",IF(D33*1440&lt;=240,"J+4",IF(D33*1440&lt;=360,"J+6",IF(D33*1440&lt;=480,"J+8","8以上"))))))</f>
        <v/>
      </c>
    </row>
    <row r="34" customFormat="false" ht="30" hidden="false" customHeight="true" outlineLevel="0" collapsed="false">
      <c r="A34" s="35"/>
      <c r="B34" s="36"/>
      <c r="C34" s="37"/>
      <c r="D34" s="38" t="str">
        <f aca="false">IF(OR(B34="",C34=""),"",ROUND((IF(C34&lt;1,INT(B34)+C34,C34)-B34)*1440,0)/1440)</f>
        <v/>
      </c>
      <c r="E34" s="39" t="str">
        <f aca="false">IF(D34="","",IF(D34&lt;0,"打日期",IF(D34*1440&lt;=120,"J+2",IF(D34*1440&lt;=240,"J+4",IF(D34*1440&lt;=360,"J+6",IF(D34*1440&lt;=480,"J+8","8以上"))))))</f>
        <v/>
      </c>
    </row>
    <row r="35" customFormat="false" ht="30" hidden="false" customHeight="true" outlineLevel="0" collapsed="false">
      <c r="A35" s="35"/>
      <c r="B35" s="36"/>
      <c r="C35" s="37"/>
      <c r="D35" s="38" t="str">
        <f aca="false">IF(OR(B35="",C35=""),"",ROUND((IF(C35&lt;1,INT(B35)+C35,C35)-B35)*1440,0)/1440)</f>
        <v/>
      </c>
      <c r="E35" s="39" t="str">
        <f aca="false">IF(D35="","",IF(D35&lt;0,"打日期",IF(D35*1440&lt;=120,"J+2",IF(D35*1440&lt;=240,"J+4",IF(D35*1440&lt;=360,"J+6",IF(D35*1440&lt;=480,"J+8","8以上"))))))</f>
        <v/>
      </c>
    </row>
    <row r="36" customFormat="false" ht="30" hidden="false" customHeight="true" outlineLevel="0" collapsed="false">
      <c r="A36" s="35"/>
      <c r="B36" s="36"/>
      <c r="C36" s="37"/>
      <c r="D36" s="38" t="str">
        <f aca="false">IF(OR(B36="",C36=""),"",ROUND((IF(C36&lt;1,INT(B36)+C36,C36)-B36)*1440,0)/1440)</f>
        <v/>
      </c>
      <c r="E36" s="39" t="str">
        <f aca="false">IF(D36="","",IF(D36&lt;0,"打日期",IF(D36*1440&lt;=120,"J+2",IF(D36*1440&lt;=240,"J+4",IF(D36*1440&lt;=360,"J+6",IF(D36*1440&lt;=480,"J+8","8以上"))))))</f>
        <v/>
      </c>
    </row>
    <row r="37" customFormat="false" ht="30" hidden="false" customHeight="true" outlineLevel="0" collapsed="false">
      <c r="A37" s="35"/>
      <c r="B37" s="36"/>
      <c r="C37" s="37"/>
      <c r="D37" s="38" t="str">
        <f aca="false">IF(OR(B37="",C37=""),"",ROUND((IF(C37&lt;1,INT(B37)+C37,C37)-B37)*1440,0)/1440)</f>
        <v/>
      </c>
      <c r="E37" s="39" t="str">
        <f aca="false">IF(D37="","",IF(D37&lt;0,"打日期",IF(D37*1440&lt;=120,"J+2",IF(D37*1440&lt;=240,"J+4",IF(D37*1440&lt;=360,"J+6",IF(D37*1440&lt;=480,"J+8","8以上"))))))</f>
        <v/>
      </c>
    </row>
    <row r="38" customFormat="false" ht="75" hidden="false" customHeight="true" outlineLevel="0" collapsed="false">
      <c r="A38" s="40" t="s">
        <v>36</v>
      </c>
      <c r="B38" s="40"/>
      <c r="C38" s="40"/>
      <c r="D38" s="40"/>
      <c r="E38" s="40"/>
    </row>
    <row r="40" customFormat="false" ht="21" hidden="false" customHeight="true" outlineLevel="0" collapsed="false">
      <c r="A40" s="41" t="s">
        <v>35</v>
      </c>
      <c r="C40" s="41" t="s">
        <v>28</v>
      </c>
    </row>
    <row r="41" customFormat="false" ht="39.75" hidden="false" customHeight="true" outlineLevel="0" collapsed="false">
      <c r="A41" s="33" t="str">
        <f aca="false">"中和郵務股"&amp;'01'!$G$2&amp;'01'!$H$2&amp;"份 區域內互寄 快捷郵遞時效表"</f>
        <v>中和郵務股115年1月份 區域內互寄 快捷郵遞時效表</v>
      </c>
      <c r="B41" s="33"/>
      <c r="C41" s="33"/>
      <c r="D41" s="33"/>
      <c r="E41" s="33"/>
    </row>
    <row r="42" customFormat="false" ht="30" hidden="false" customHeight="true" outlineLevel="0" collapsed="false">
      <c r="A42" s="34" t="s">
        <v>29</v>
      </c>
      <c r="B42" s="34" t="s">
        <v>30</v>
      </c>
      <c r="C42" s="34" t="s">
        <v>31</v>
      </c>
      <c r="D42" s="34" t="s">
        <v>32</v>
      </c>
      <c r="E42" s="34" t="s">
        <v>33</v>
      </c>
    </row>
    <row r="43" customFormat="false" ht="30" hidden="false" customHeight="true" outlineLevel="0" collapsed="false">
      <c r="A43" s="35"/>
      <c r="B43" s="36"/>
      <c r="C43" s="37"/>
      <c r="D43" s="38" t="str">
        <f aca="false">IF(OR(B43="",C43=""),"",ROUND((IF(C43&lt;1,INT(B43)+C43,C43)-B43)*1440,0)/1440)</f>
        <v/>
      </c>
      <c r="E43" s="39" t="str">
        <f aca="false">IF(D43="","",IF(D43&lt;0,"打日期",IF(D43*1440&lt;=120,"J+2",IF(D43*1440&lt;=240,"J+4",IF(D43*1440&lt;=360,"J+6",IF(D43*1440&lt;=480,"J+8","8以上"))))))</f>
        <v/>
      </c>
    </row>
    <row r="44" customFormat="false" ht="30" hidden="false" customHeight="true" outlineLevel="0" collapsed="false">
      <c r="A44" s="35"/>
      <c r="B44" s="36"/>
      <c r="C44" s="37"/>
      <c r="D44" s="38" t="str">
        <f aca="false">IF(OR(B44="",C44=""),"",ROUND((IF(C44&lt;1,INT(B44)+C44,C44)-B44)*1440,0)/1440)</f>
        <v/>
      </c>
      <c r="E44" s="39" t="str">
        <f aca="false">IF(D44="","",IF(D44&lt;0,"打日期",IF(D44*1440&lt;=120,"J+2",IF(D44*1440&lt;=240,"J+4",IF(D44*1440&lt;=360,"J+6",IF(D44*1440&lt;=480,"J+8","8以上"))))))</f>
        <v/>
      </c>
    </row>
    <row r="45" customFormat="false" ht="30" hidden="false" customHeight="true" outlineLevel="0" collapsed="false">
      <c r="A45" s="35"/>
      <c r="B45" s="36"/>
      <c r="C45" s="37"/>
      <c r="D45" s="38" t="str">
        <f aca="false">IF(OR(B45="",C45=""),"",ROUND((IF(C45&lt;1,INT(B45)+C45,C45)-B45)*1440,0)/1440)</f>
        <v/>
      </c>
      <c r="E45" s="39" t="str">
        <f aca="false">IF(D45="","",IF(D45&lt;0,"打日期",IF(D45*1440&lt;=120,"J+2",IF(D45*1440&lt;=240,"J+4",IF(D45*1440&lt;=360,"J+6",IF(D45*1440&lt;=480,"J+8","8以上"))))))</f>
        <v/>
      </c>
    </row>
    <row r="46" customFormat="false" ht="30" hidden="false" customHeight="true" outlineLevel="0" collapsed="false">
      <c r="A46" s="35"/>
      <c r="B46" s="36"/>
      <c r="C46" s="37"/>
      <c r="D46" s="38" t="str">
        <f aca="false">IF(OR(B46="",C46=""),"",ROUND((IF(C46&lt;1,INT(B46)+C46,C46)-B46)*1440,0)/1440)</f>
        <v/>
      </c>
      <c r="E46" s="39" t="str">
        <f aca="false">IF(D46="","",IF(D46&lt;0,"打日期",IF(D46*1440&lt;=120,"J+2",IF(D46*1440&lt;=240,"J+4",IF(D46*1440&lt;=360,"J+6",IF(D46*1440&lt;=480,"J+8","8以上"))))))</f>
        <v/>
      </c>
    </row>
    <row r="47" customFormat="false" ht="30" hidden="false" customHeight="true" outlineLevel="0" collapsed="false">
      <c r="A47" s="35"/>
      <c r="B47" s="36"/>
      <c r="C47" s="37"/>
      <c r="D47" s="38" t="str">
        <f aca="false">IF(OR(B47="",C47=""),"",ROUND((IF(C47&lt;1,INT(B47)+C47,C47)-B47)*1440,0)/1440)</f>
        <v/>
      </c>
      <c r="E47" s="39" t="str">
        <f aca="false">IF(D47="","",IF(D47&lt;0,"打日期",IF(D47*1440&lt;=120,"J+2",IF(D47*1440&lt;=240,"J+4",IF(D47*1440&lt;=360,"J+6",IF(D47*1440&lt;=480,"J+8","8以上"))))))</f>
        <v/>
      </c>
    </row>
    <row r="48" customFormat="false" ht="30" hidden="false" customHeight="true" outlineLevel="0" collapsed="false">
      <c r="A48" s="35"/>
      <c r="B48" s="36"/>
      <c r="C48" s="37"/>
      <c r="D48" s="38" t="str">
        <f aca="false">IF(OR(B48="",C48=""),"",ROUND((IF(C48&lt;1,INT(B48)+C48,C48)-B48)*1440,0)/1440)</f>
        <v/>
      </c>
      <c r="E48" s="39" t="str">
        <f aca="false">IF(D48="","",IF(D48&lt;0,"打日期",IF(D48*1440&lt;=120,"J+2",IF(D48*1440&lt;=240,"J+4",IF(D48*1440&lt;=360,"J+6",IF(D48*1440&lt;=480,"J+8","8以上"))))))</f>
        <v/>
      </c>
    </row>
    <row r="49" customFormat="false" ht="30" hidden="false" customHeight="true" outlineLevel="0" collapsed="false">
      <c r="A49" s="35"/>
      <c r="B49" s="36"/>
      <c r="C49" s="37"/>
      <c r="D49" s="38" t="str">
        <f aca="false">IF(OR(B49="",C49=""),"",ROUND((IF(C49&lt;1,INT(B49)+C49,C49)-B49)*1440,0)/1440)</f>
        <v/>
      </c>
      <c r="E49" s="39" t="str">
        <f aca="false">IF(D49="","",IF(D49&lt;0,"打日期",IF(D49*1440&lt;=120,"J+2",IF(D49*1440&lt;=240,"J+4",IF(D49*1440&lt;=360,"J+6",IF(D49*1440&lt;=480,"J+8","8以上"))))))</f>
        <v/>
      </c>
    </row>
    <row r="50" customFormat="false" ht="30" hidden="false" customHeight="true" outlineLevel="0" collapsed="false">
      <c r="A50" s="35"/>
      <c r="B50" s="36"/>
      <c r="C50" s="37"/>
      <c r="D50" s="38" t="str">
        <f aca="false">IF(OR(B50="",C50=""),"",ROUND((IF(C50&lt;1,INT(B50)+C50,C50)-B50)*1440,0)/1440)</f>
        <v/>
      </c>
      <c r="E50" s="39" t="str">
        <f aca="false">IF(D50="","",IF(D50&lt;0,"打日期",IF(D50*1440&lt;=120,"J+2",IF(D50*1440&lt;=240,"J+4",IF(D50*1440&lt;=360,"J+6",IF(D50*1440&lt;=480,"J+8","8以上"))))))</f>
        <v/>
      </c>
    </row>
    <row r="51" customFormat="false" ht="30" hidden="false" customHeight="true" outlineLevel="0" collapsed="false">
      <c r="A51" s="35"/>
      <c r="B51" s="36"/>
      <c r="C51" s="37"/>
      <c r="D51" s="38" t="str">
        <f aca="false">IF(OR(B51="",C51=""),"",ROUND((IF(C51&lt;1,INT(B51)+C51,C51)-B51)*1440,0)/1440)</f>
        <v/>
      </c>
      <c r="E51" s="39" t="str">
        <f aca="false">IF(D51="","",IF(D51&lt;0,"打日期",IF(D51*1440&lt;=120,"J+2",IF(D51*1440&lt;=240,"J+4",IF(D51*1440&lt;=360,"J+6",IF(D51*1440&lt;=480,"J+8","8以上"))))))</f>
        <v/>
      </c>
    </row>
    <row r="52" customFormat="false" ht="30" hidden="false" customHeight="true" outlineLevel="0" collapsed="false">
      <c r="A52" s="35"/>
      <c r="B52" s="36"/>
      <c r="C52" s="37"/>
      <c r="D52" s="38" t="str">
        <f aca="false">IF(OR(B52="",C52=""),"",ROUND((IF(C52&lt;1,INT(B52)+C52,C52)-B52)*1440,0)/1440)</f>
        <v/>
      </c>
      <c r="E52" s="39" t="str">
        <f aca="false">IF(D52="","",IF(D52&lt;0,"打日期",IF(D52*1440&lt;=120,"J+2",IF(D52*1440&lt;=240,"J+4",IF(D52*1440&lt;=360,"J+6",IF(D52*1440&lt;=480,"J+8","8以上"))))))</f>
        <v/>
      </c>
    </row>
    <row r="53" customFormat="false" ht="30" hidden="false" customHeight="true" outlineLevel="0" collapsed="false">
      <c r="A53" s="35"/>
      <c r="B53" s="36"/>
      <c r="C53" s="37"/>
      <c r="D53" s="38" t="str">
        <f aca="false">IF(OR(B53="",C53=""),"",ROUND((IF(C53&lt;1,INT(B53)+C53,C53)-B53)*1440,0)/1440)</f>
        <v/>
      </c>
      <c r="E53" s="39" t="str">
        <f aca="false">IF(D53="","",IF(D53&lt;0,"打日期",IF(D53*1440&lt;=120,"J+2",IF(D53*1440&lt;=240,"J+4",IF(D53*1440&lt;=360,"J+6",IF(D53*1440&lt;=480,"J+8","8以上"))))))</f>
        <v/>
      </c>
    </row>
    <row r="54" customFormat="false" ht="30" hidden="false" customHeight="true" outlineLevel="0" collapsed="false">
      <c r="A54" s="35"/>
      <c r="B54" s="36"/>
      <c r="C54" s="37"/>
      <c r="D54" s="38" t="str">
        <f aca="false">IF(OR(B54="",C54=""),"",ROUND((IF(C54&lt;1,INT(B54)+C54,C54)-B54)*1440,0)/1440)</f>
        <v/>
      </c>
      <c r="E54" s="39" t="str">
        <f aca="false">IF(D54="","",IF(D54&lt;0,"打日期",IF(D54*1440&lt;=120,"J+2",IF(D54*1440&lt;=240,"J+4",IF(D54*1440&lt;=360,"J+6",IF(D54*1440&lt;=480,"J+8","8以上"))))))</f>
        <v/>
      </c>
    </row>
    <row r="55" customFormat="false" ht="30" hidden="false" customHeight="true" outlineLevel="0" collapsed="false">
      <c r="A55" s="35"/>
      <c r="B55" s="36"/>
      <c r="C55" s="37"/>
      <c r="D55" s="38" t="str">
        <f aca="false">IF(OR(B55="",C55=""),"",ROUND((IF(C55&lt;1,INT(B55)+C55,C55)-B55)*1440,0)/1440)</f>
        <v/>
      </c>
      <c r="E55" s="39" t="str">
        <f aca="false">IF(D55="","",IF(D55&lt;0,"打日期",IF(D55*1440&lt;=120,"J+2",IF(D55*1440&lt;=240,"J+4",IF(D55*1440&lt;=360,"J+6",IF(D55*1440&lt;=480,"J+8","8以上"))))))</f>
        <v/>
      </c>
    </row>
    <row r="56" customFormat="false" ht="30" hidden="false" customHeight="true" outlineLevel="0" collapsed="false">
      <c r="A56" s="35"/>
      <c r="B56" s="36"/>
      <c r="C56" s="37"/>
      <c r="D56" s="38" t="str">
        <f aca="false">IF(OR(B56="",C56=""),"",ROUND((IF(C56&lt;1,INT(B56)+C56,C56)-B56)*1440,0)/1440)</f>
        <v/>
      </c>
      <c r="E56" s="39" t="str">
        <f aca="false">IF(D56="","",IF(D56&lt;0,"打日期",IF(D56*1440&lt;=120,"J+2",IF(D56*1440&lt;=240,"J+4",IF(D56*1440&lt;=360,"J+6",IF(D56*1440&lt;=480,"J+8","8以上"))))))</f>
        <v/>
      </c>
    </row>
    <row r="57" customFormat="false" ht="30" hidden="false" customHeight="true" outlineLevel="0" collapsed="false">
      <c r="A57" s="35"/>
      <c r="B57" s="36"/>
      <c r="C57" s="37"/>
      <c r="D57" s="38" t="str">
        <f aca="false">IF(OR(B57="",C57=""),"",ROUND((IF(C57&lt;1,INT(B57)+C57,C57)-B57)*1440,0)/1440)</f>
        <v/>
      </c>
      <c r="E57" s="39" t="str">
        <f aca="false">IF(D57="","",IF(D57&lt;0,"打日期",IF(D57*1440&lt;=120,"J+2",IF(D57*1440&lt;=240,"J+4",IF(D57*1440&lt;=360,"J+6",IF(D57*1440&lt;=480,"J+8","8以上"))))))</f>
        <v/>
      </c>
    </row>
    <row r="58" customFormat="false" ht="75" hidden="false" customHeight="true" outlineLevel="0" collapsed="false">
      <c r="A58" s="40" t="s">
        <v>37</v>
      </c>
      <c r="B58" s="40"/>
      <c r="C58" s="40"/>
      <c r="D58" s="40"/>
      <c r="E58" s="40"/>
    </row>
    <row r="60" customFormat="false" ht="21" hidden="false" customHeight="true" outlineLevel="0" collapsed="false">
      <c r="A60" s="41" t="s">
        <v>35</v>
      </c>
      <c r="C60" s="41" t="s">
        <v>28</v>
      </c>
    </row>
    <row r="61" customFormat="false" ht="39.75" hidden="false" customHeight="true" outlineLevel="0" collapsed="false">
      <c r="A61" s="33" t="str">
        <f aca="false">"中和郵務股"&amp;'01'!$G$2&amp;'01'!$H$2&amp;"份 轉口 快捷郵遞時效表"</f>
        <v>中和郵務股115年1月份 轉口 快捷郵遞時效表</v>
      </c>
      <c r="B61" s="33"/>
      <c r="C61" s="33"/>
      <c r="D61" s="33"/>
      <c r="E61" s="33"/>
    </row>
    <row r="62" customFormat="false" ht="30" hidden="false" customHeight="true" outlineLevel="0" collapsed="false">
      <c r="A62" s="34" t="s">
        <v>29</v>
      </c>
      <c r="B62" s="34" t="s">
        <v>30</v>
      </c>
      <c r="C62" s="34" t="s">
        <v>31</v>
      </c>
      <c r="D62" s="34" t="s">
        <v>32</v>
      </c>
      <c r="E62" s="34" t="s">
        <v>33</v>
      </c>
    </row>
    <row r="63" customFormat="false" ht="30" hidden="false" customHeight="true" outlineLevel="0" collapsed="false">
      <c r="A63" s="35"/>
      <c r="B63" s="36"/>
      <c r="C63" s="37"/>
      <c r="D63" s="38" t="str">
        <f aca="false">IF(OR(B63="",C63=""),"",ROUND((IF(C63&lt;1,INT(B63)+C63,C63)-B63)*1440,0)/1440)</f>
        <v/>
      </c>
      <c r="E63" s="39" t="str">
        <f aca="false">IF(D63="","",IF(D63&lt;0,"打日期",IF(D63*1440&lt;=120,"J+2",IF(D63*1440&lt;=240,"J+4",IF(D63*1440&lt;=360,"J+6",IF(D63*1440&lt;=480,"J+8","8以上"))))))</f>
        <v/>
      </c>
    </row>
    <row r="64" customFormat="false" ht="30" hidden="false" customHeight="true" outlineLevel="0" collapsed="false">
      <c r="A64" s="35"/>
      <c r="B64" s="36"/>
      <c r="C64" s="37"/>
      <c r="D64" s="38" t="str">
        <f aca="false">IF(OR(B64="",C64=""),"",ROUND((IF(C64&lt;1,INT(B64)+C64,C64)-B64)*1440,0)/1440)</f>
        <v/>
      </c>
      <c r="E64" s="39" t="str">
        <f aca="false">IF(D64="","",IF(D64&lt;0,"打日期",IF(D64*1440&lt;=120,"J+2",IF(D64*1440&lt;=240,"J+4",IF(D64*1440&lt;=360,"J+6",IF(D64*1440&lt;=480,"J+8","8以上"))))))</f>
        <v/>
      </c>
    </row>
    <row r="65" customFormat="false" ht="30" hidden="false" customHeight="true" outlineLevel="0" collapsed="false">
      <c r="A65" s="35"/>
      <c r="B65" s="36"/>
      <c r="C65" s="37"/>
      <c r="D65" s="38" t="str">
        <f aca="false">IF(OR(B65="",C65=""),"",ROUND((IF(C65&lt;1,INT(B65)+C65,C65)-B65)*1440,0)/1440)</f>
        <v/>
      </c>
      <c r="E65" s="39" t="str">
        <f aca="false">IF(D65="","",IF(D65&lt;0,"打日期",IF(D65*1440&lt;=120,"J+2",IF(D65*1440&lt;=240,"J+4",IF(D65*1440&lt;=360,"J+6",IF(D65*1440&lt;=480,"J+8","8以上"))))))</f>
        <v/>
      </c>
    </row>
    <row r="66" customFormat="false" ht="30" hidden="false" customHeight="true" outlineLevel="0" collapsed="false">
      <c r="A66" s="35"/>
      <c r="B66" s="36"/>
      <c r="C66" s="37"/>
      <c r="D66" s="38" t="str">
        <f aca="false">IF(OR(B66="",C66=""),"",ROUND((IF(C66&lt;1,INT(B66)+C66,C66)-B66)*1440,0)/1440)</f>
        <v/>
      </c>
      <c r="E66" s="39" t="str">
        <f aca="false">IF(D66="","",IF(D66&lt;0,"打日期",IF(D66*1440&lt;=120,"J+2",IF(D66*1440&lt;=240,"J+4",IF(D66*1440&lt;=360,"J+6",IF(D66*1440&lt;=480,"J+8","8以上"))))))</f>
        <v/>
      </c>
    </row>
    <row r="67" customFormat="false" ht="30" hidden="false" customHeight="true" outlineLevel="0" collapsed="false">
      <c r="A67" s="35"/>
      <c r="B67" s="36"/>
      <c r="C67" s="37"/>
      <c r="D67" s="38" t="str">
        <f aca="false">IF(OR(B67="",C67=""),"",ROUND((IF(C67&lt;1,INT(B67)+C67,C67)-B67)*1440,0)/1440)</f>
        <v/>
      </c>
      <c r="E67" s="39" t="str">
        <f aca="false">IF(D67="","",IF(D67&lt;0,"打日期",IF(D67*1440&lt;=120,"J+2",IF(D67*1440&lt;=240,"J+4",IF(D67*1440&lt;=360,"J+6",IF(D67*1440&lt;=480,"J+8","8以上"))))))</f>
        <v/>
      </c>
    </row>
    <row r="68" customFormat="false" ht="30" hidden="false" customHeight="true" outlineLevel="0" collapsed="false">
      <c r="A68" s="35"/>
      <c r="B68" s="36"/>
      <c r="C68" s="37"/>
      <c r="D68" s="38" t="str">
        <f aca="false">IF(OR(B68="",C68=""),"",ROUND((IF(C68&lt;1,INT(B68)+C68,C68)-B68)*1440,0)/1440)</f>
        <v/>
      </c>
      <c r="E68" s="39" t="str">
        <f aca="false">IF(D68="","",IF(D68&lt;0,"打日期",IF(D68*1440&lt;=120,"J+2",IF(D68*1440&lt;=240,"J+4",IF(D68*1440&lt;=360,"J+6",IF(D68*1440&lt;=480,"J+8","8以上"))))))</f>
        <v/>
      </c>
    </row>
    <row r="69" customFormat="false" ht="30" hidden="false" customHeight="true" outlineLevel="0" collapsed="false">
      <c r="A69" s="35"/>
      <c r="B69" s="36"/>
      <c r="C69" s="37"/>
      <c r="D69" s="38" t="str">
        <f aca="false">IF(OR(B69="",C69=""),"",ROUND((IF(C69&lt;1,INT(B69)+C69,C69)-B69)*1440,0)/1440)</f>
        <v/>
      </c>
      <c r="E69" s="39" t="str">
        <f aca="false">IF(D69="","",IF(D69&lt;0,"打日期",IF(D69*1440&lt;=120,"J+2",IF(D69*1440&lt;=240,"J+4",IF(D69*1440&lt;=360,"J+6",IF(D69*1440&lt;=480,"J+8","8以上"))))))</f>
        <v/>
      </c>
    </row>
    <row r="70" customFormat="false" ht="30" hidden="false" customHeight="true" outlineLevel="0" collapsed="false">
      <c r="A70" s="35"/>
      <c r="B70" s="36"/>
      <c r="C70" s="37"/>
      <c r="D70" s="38" t="str">
        <f aca="false">IF(OR(B70="",C70=""),"",ROUND((IF(C70&lt;1,INT(B70)+C70,C70)-B70)*1440,0)/1440)</f>
        <v/>
      </c>
      <c r="E70" s="39" t="str">
        <f aca="false">IF(D70="","",IF(D70&lt;0,"打日期",IF(D70*1440&lt;=120,"J+2",IF(D70*1440&lt;=240,"J+4",IF(D70*1440&lt;=360,"J+6",IF(D70*1440&lt;=480,"J+8","8以上"))))))</f>
        <v/>
      </c>
    </row>
    <row r="71" customFormat="false" ht="30" hidden="false" customHeight="true" outlineLevel="0" collapsed="false">
      <c r="A71" s="35"/>
      <c r="B71" s="36"/>
      <c r="C71" s="37"/>
      <c r="D71" s="38" t="str">
        <f aca="false">IF(OR(B71="",C71=""),"",ROUND((IF(C71&lt;1,INT(B71)+C71,C71)-B71)*1440,0)/1440)</f>
        <v/>
      </c>
      <c r="E71" s="39" t="str">
        <f aca="false">IF(D71="","",IF(D71&lt;0,"打日期",IF(D71*1440&lt;=120,"J+2",IF(D71*1440&lt;=240,"J+4",IF(D71*1440&lt;=360,"J+6",IF(D71*1440&lt;=480,"J+8","8以上"))))))</f>
        <v/>
      </c>
    </row>
    <row r="72" customFormat="false" ht="30" hidden="false" customHeight="true" outlineLevel="0" collapsed="false">
      <c r="A72" s="35"/>
      <c r="B72" s="36"/>
      <c r="C72" s="37"/>
      <c r="D72" s="38" t="str">
        <f aca="false">IF(OR(B72="",C72=""),"",ROUND((IF(C72&lt;1,INT(B72)+C72,C72)-B72)*1440,0)/1440)</f>
        <v/>
      </c>
      <c r="E72" s="39" t="str">
        <f aca="false">IF(D72="","",IF(D72&lt;0,"打日期",IF(D72*1440&lt;=120,"J+2",IF(D72*1440&lt;=240,"J+4",IF(D72*1440&lt;=360,"J+6",IF(D72*1440&lt;=480,"J+8","8以上"))))))</f>
        <v/>
      </c>
    </row>
    <row r="73" customFormat="false" ht="30" hidden="false" customHeight="true" outlineLevel="0" collapsed="false">
      <c r="A73" s="35"/>
      <c r="B73" s="36"/>
      <c r="C73" s="37"/>
      <c r="D73" s="38" t="str">
        <f aca="false">IF(OR(B73="",C73=""),"",ROUND((IF(C73&lt;1,INT(B73)+C73,C73)-B73)*1440,0)/1440)</f>
        <v/>
      </c>
      <c r="E73" s="39" t="str">
        <f aca="false">IF(D73="","",IF(D73&lt;0,"打日期",IF(D73*1440&lt;=120,"J+2",IF(D73*1440&lt;=240,"J+4",IF(D73*1440&lt;=360,"J+6",IF(D73*1440&lt;=480,"J+8","8以上"))))))</f>
        <v/>
      </c>
    </row>
    <row r="74" customFormat="false" ht="30" hidden="false" customHeight="true" outlineLevel="0" collapsed="false">
      <c r="A74" s="35"/>
      <c r="B74" s="36"/>
      <c r="C74" s="37"/>
      <c r="D74" s="38" t="str">
        <f aca="false">IF(OR(B74="",C74=""),"",ROUND((IF(C74&lt;1,INT(B74)+C74,C74)-B74)*1440,0)/1440)</f>
        <v/>
      </c>
      <c r="E74" s="39" t="str">
        <f aca="false">IF(D74="","",IF(D74&lt;0,"打日期",IF(D74*1440&lt;=120,"J+2",IF(D74*1440&lt;=240,"J+4",IF(D74*1440&lt;=360,"J+6",IF(D74*1440&lt;=480,"J+8","8以上"))))))</f>
        <v/>
      </c>
    </row>
    <row r="75" customFormat="false" ht="30" hidden="false" customHeight="true" outlineLevel="0" collapsed="false">
      <c r="A75" s="35"/>
      <c r="B75" s="36"/>
      <c r="C75" s="37"/>
      <c r="D75" s="38" t="str">
        <f aca="false">IF(OR(B75="",C75=""),"",ROUND((IF(C75&lt;1,INT(B75)+C75,C75)-B75)*1440,0)/1440)</f>
        <v/>
      </c>
      <c r="E75" s="39" t="str">
        <f aca="false">IF(D75="","",IF(D75&lt;0,"打日期",IF(D75*1440&lt;=120,"J+2",IF(D75*1440&lt;=240,"J+4",IF(D75*1440&lt;=360,"J+6",IF(D75*1440&lt;=480,"J+8","8以上"))))))</f>
        <v/>
      </c>
    </row>
    <row r="76" customFormat="false" ht="30" hidden="false" customHeight="true" outlineLevel="0" collapsed="false">
      <c r="A76" s="35"/>
      <c r="B76" s="36"/>
      <c r="C76" s="37"/>
      <c r="D76" s="38" t="str">
        <f aca="false">IF(OR(B76="",C76=""),"",ROUND((IF(C76&lt;1,INT(B76)+C76,C76)-B76)*1440,0)/1440)</f>
        <v/>
      </c>
      <c r="E76" s="39" t="str">
        <f aca="false">IF(D76="","",IF(D76&lt;0,"打日期",IF(D76*1440&lt;=120,"J+2",IF(D76*1440&lt;=240,"J+4",IF(D76*1440&lt;=360,"J+6",IF(D76*1440&lt;=480,"J+8","8以上"))))))</f>
        <v/>
      </c>
    </row>
    <row r="77" customFormat="false" ht="30" hidden="false" customHeight="true" outlineLevel="0" collapsed="false">
      <c r="A77" s="35"/>
      <c r="B77" s="36"/>
      <c r="C77" s="37"/>
      <c r="D77" s="38" t="str">
        <f aca="false">IF(OR(B77="",C77=""),"",ROUND((IF(C77&lt;1,INT(B77)+C77,C77)-B77)*1440,0)/1440)</f>
        <v/>
      </c>
      <c r="E77" s="39" t="str">
        <f aca="false">IF(D77="","",IF(D77&lt;0,"打日期",IF(D77*1440&lt;=120,"J+2",IF(D77*1440&lt;=240,"J+4",IF(D77*1440&lt;=360,"J+6",IF(D77*1440&lt;=480,"J+8","8以上"))))))</f>
        <v/>
      </c>
    </row>
    <row r="78" customFormat="false" ht="75" hidden="false" customHeight="true" outlineLevel="0" collapsed="false">
      <c r="A78" s="40" t="s">
        <v>38</v>
      </c>
      <c r="B78" s="40"/>
      <c r="C78" s="40"/>
      <c r="D78" s="40"/>
      <c r="E78" s="40"/>
    </row>
    <row r="80" customFormat="false" ht="21" hidden="false" customHeight="true" outlineLevel="0" collapsed="false">
      <c r="A80" s="41" t="s">
        <v>35</v>
      </c>
      <c r="C80" s="41" t="s">
        <v>28</v>
      </c>
    </row>
  </sheetData>
  <mergeCells count="8">
    <mergeCell ref="A1:E1"/>
    <mergeCell ref="A18:E18"/>
    <mergeCell ref="A21:E21"/>
    <mergeCell ref="A38:E38"/>
    <mergeCell ref="A41:E41"/>
    <mergeCell ref="A58:E58"/>
    <mergeCell ref="A61:E61"/>
    <mergeCell ref="A78:E78"/>
  </mergeCells>
  <printOptions headings="false" gridLines="false" gridLinesSet="true" horizontalCentered="true" verticalCentered="false"/>
  <pageMargins left="0.5" right="0.5" top="0.5" bottom="0.5" header="0.511811023622047" footer="0.511811023622047"/>
  <pageSetup paperSize="9" scale="9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3" manualBreakCount="3">
    <brk id="20" man="true" max="16383" min="0"/>
    <brk id="40" man="true" max="16383" min="0"/>
    <brk id="60" man="true" max="16383" min="0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true"/>
  </sheetPr>
  <dimension ref="A1:O1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L7" activeCellId="0" sqref="L7"/>
    </sheetView>
  </sheetViews>
  <sheetFormatPr defaultColWidth="8.87890625" defaultRowHeight="16.5" zeroHeight="false" outlineLevelRow="0" outlineLevelCol="0"/>
  <cols>
    <col collapsed="false" customWidth="true" hidden="false" outlineLevel="0" max="1" min="1" style="1" width="2.75"/>
    <col collapsed="false" customWidth="true" hidden="false" outlineLevel="0" max="2" min="2" style="1" width="21.5"/>
    <col collapsed="false" customWidth="true" hidden="false" outlineLevel="0" max="15" min="3" style="1" width="11"/>
    <col collapsed="false" customWidth="false" hidden="false" outlineLevel="0" max="16384" min="16" style="1" width="8.88"/>
  </cols>
  <sheetData>
    <row r="1" customFormat="false" ht="43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43.5" hidden="false" customHeight="true" outlineLevel="0" collapsed="false">
      <c r="A2" s="3"/>
      <c r="F2" s="4"/>
      <c r="G2" s="5" t="str">
        <f aca="false">'01'!G2</f>
        <v>115年</v>
      </c>
      <c r="H2" s="6" t="s">
        <v>39</v>
      </c>
      <c r="I2" s="4"/>
    </row>
    <row r="3" customFormat="false" ht="48.75" hidden="false" customHeight="true" outlineLevel="0" collapsed="false">
      <c r="A3" s="7" t="s">
        <v>3</v>
      </c>
      <c r="B3" s="7"/>
      <c r="C3" s="8" t="s">
        <v>4</v>
      </c>
      <c r="D3" s="9" t="s">
        <v>5</v>
      </c>
      <c r="E3" s="10" t="s">
        <v>6</v>
      </c>
      <c r="F3" s="9" t="s">
        <v>7</v>
      </c>
      <c r="G3" s="10" t="s">
        <v>8</v>
      </c>
      <c r="H3" s="9" t="s">
        <v>9</v>
      </c>
      <c r="I3" s="10" t="s">
        <v>10</v>
      </c>
      <c r="J3" s="9" t="s">
        <v>11</v>
      </c>
      <c r="K3" s="10" t="s">
        <v>12</v>
      </c>
      <c r="L3" s="9" t="s">
        <v>13</v>
      </c>
      <c r="M3" s="10" t="s">
        <v>14</v>
      </c>
      <c r="N3" s="11" t="s">
        <v>15</v>
      </c>
      <c r="O3" s="8" t="s">
        <v>16</v>
      </c>
    </row>
    <row r="4" customFormat="false" ht="50.25" hidden="false" customHeight="true" outlineLevel="0" collapsed="false">
      <c r="A4" s="12" t="s">
        <v>17</v>
      </c>
      <c r="B4" s="12"/>
      <c r="C4" s="13" t="n">
        <f aca="false">D4+F4+H4+J4+L4</f>
        <v>0</v>
      </c>
      <c r="D4" s="14" t="n">
        <f aca="false">COUNTIF(02子本!$E$3:$E$17,"J+2")</f>
        <v>0</v>
      </c>
      <c r="E4" s="15" t="str">
        <f aca="false">IF($C4=0,"",D4/$C4)</f>
        <v/>
      </c>
      <c r="F4" s="14" t="n">
        <f aca="false">COUNTIF(02子本!$E$3:$E$17,"J+4")</f>
        <v>0</v>
      </c>
      <c r="G4" s="15" t="str">
        <f aca="false">IF($C4=0,"",F4/$C4)</f>
        <v/>
      </c>
      <c r="H4" s="14" t="n">
        <f aca="false">COUNTIF(02子本!$E$3:$E$17,"J+6")</f>
        <v>0</v>
      </c>
      <c r="I4" s="15" t="str">
        <f aca="false">IF($C4=0,"",H4/$C4)</f>
        <v/>
      </c>
      <c r="J4" s="14" t="n">
        <f aca="false">COUNTIF(02子本!$E$3:$E$17,"J+8")</f>
        <v>0</v>
      </c>
      <c r="K4" s="15" t="str">
        <f aca="false">IF($C4=0,"",J4/$C4)</f>
        <v/>
      </c>
      <c r="L4" s="14" t="n">
        <f aca="false">COUNTIF(02子本!$E$3:$E$17,"8以上")</f>
        <v>0</v>
      </c>
      <c r="M4" s="15" t="str">
        <f aca="false">IF($C4=0,"",L4/$C4)</f>
        <v/>
      </c>
      <c r="N4" s="16" t="n">
        <v>1</v>
      </c>
      <c r="O4" s="17" t="str">
        <f aca="false">IF($C4=0,"",(D4*2+F4*4+H4*6+J4*8+L4*8)/$C4)</f>
        <v/>
      </c>
    </row>
    <row r="5" customFormat="false" ht="50.25" hidden="false" customHeight="true" outlineLevel="0" collapsed="false">
      <c r="A5" s="12" t="s">
        <v>18</v>
      </c>
      <c r="B5" s="12"/>
      <c r="C5" s="13" t="n">
        <f aca="false">D5+F5+H5+J5+L5</f>
        <v>0</v>
      </c>
      <c r="D5" s="14" t="n">
        <f aca="false">COUNTIF(02子本!$E$23:$E$37,"J+2")</f>
        <v>0</v>
      </c>
      <c r="E5" s="15" t="str">
        <f aca="false">IF($C5=0,"",D5/$C5)</f>
        <v/>
      </c>
      <c r="F5" s="14" t="n">
        <f aca="false">COUNTIF(02子本!$E$23:$E$37,"J+4")</f>
        <v>0</v>
      </c>
      <c r="G5" s="15" t="str">
        <f aca="false">IF($C5=0,"",F5/$C5)</f>
        <v/>
      </c>
      <c r="H5" s="14" t="n">
        <f aca="false">COUNTIF(02子本!$E$23:$E$37,"J+6")</f>
        <v>0</v>
      </c>
      <c r="I5" s="15" t="str">
        <f aca="false">IF($C5=0,"",H5/$C5)</f>
        <v/>
      </c>
      <c r="J5" s="14" t="n">
        <f aca="false">COUNTIF(02子本!$E$23:$E$37,"J+8")</f>
        <v>0</v>
      </c>
      <c r="K5" s="15" t="str">
        <f aca="false">IF($C5=0,"",J5/$C5)</f>
        <v/>
      </c>
      <c r="L5" s="14" t="n">
        <f aca="false">COUNTIF(02子本!$E$23:$E$37,"8以上")</f>
        <v>0</v>
      </c>
      <c r="M5" s="15" t="str">
        <f aca="false">IF($C5=0,"",L5/$C5)</f>
        <v/>
      </c>
      <c r="N5" s="16" t="n">
        <v>1</v>
      </c>
      <c r="O5" s="17" t="str">
        <f aca="false">IF($C5=0,"",(D5*2+F5*4+H5*6+J5*8+L5*8)/$C5)</f>
        <v/>
      </c>
    </row>
    <row r="6" customFormat="false" ht="54.75" hidden="false" customHeight="true" outlineLevel="0" collapsed="false">
      <c r="A6" s="18" t="s">
        <v>19</v>
      </c>
      <c r="B6" s="18"/>
      <c r="C6" s="13" t="n">
        <f aca="false">D6+F6+H6+J6+L6</f>
        <v>0</v>
      </c>
      <c r="D6" s="14" t="n">
        <f aca="false">COUNTIF(02子本!$E$43:$E$57,"J+2")</f>
        <v>0</v>
      </c>
      <c r="E6" s="15" t="str">
        <f aca="false">IF($C6=0,"",D6/$C6)</f>
        <v/>
      </c>
      <c r="F6" s="14" t="n">
        <f aca="false">COUNTIF(02子本!$E$43:$E$57,"J+4")</f>
        <v>0</v>
      </c>
      <c r="G6" s="15" t="str">
        <f aca="false">IF($C6=0,"",F6/$C6)</f>
        <v/>
      </c>
      <c r="H6" s="14" t="n">
        <f aca="false">COUNTIF(02子本!$E$43:$E$57,"J+6")</f>
        <v>0</v>
      </c>
      <c r="I6" s="15" t="str">
        <f aca="false">IF($C6=0,"",H6/$C6)</f>
        <v/>
      </c>
      <c r="J6" s="14" t="n">
        <f aca="false">COUNTIF(02子本!$E$43:$E$57,"J+8")</f>
        <v>0</v>
      </c>
      <c r="K6" s="15" t="str">
        <f aca="false">IF($C6=0,"",J6/$C6)</f>
        <v/>
      </c>
      <c r="L6" s="14" t="n">
        <f aca="false">COUNTIF(02子本!$E$43:$E$57,"8以上")</f>
        <v>0</v>
      </c>
      <c r="M6" s="15" t="str">
        <f aca="false">IF($C6=0,"",L6/$C6)</f>
        <v/>
      </c>
      <c r="N6" s="16" t="n">
        <v>1</v>
      </c>
      <c r="O6" s="17" t="str">
        <f aca="false">IF($C6=0,"",(D6*2+F6*4+H6*6+J6*8+L6*8)/$C6)</f>
        <v/>
      </c>
    </row>
    <row r="7" customFormat="false" ht="50.25" hidden="false" customHeight="true" outlineLevel="0" collapsed="false">
      <c r="A7" s="19" t="s">
        <v>20</v>
      </c>
      <c r="B7" s="19"/>
      <c r="C7" s="13" t="n">
        <f aca="false">D7+F7+H7+J7+L7</f>
        <v>0</v>
      </c>
      <c r="D7" s="14" t="n">
        <f aca="false">COUNTIF(02子本!$E$63:$E$77,"J+2")</f>
        <v>0</v>
      </c>
      <c r="E7" s="15" t="str">
        <f aca="false">IF($C7=0,"",D7/$C7)</f>
        <v/>
      </c>
      <c r="F7" s="14" t="n">
        <f aca="false">COUNTIF(02子本!$E$63:$E$77,"J+4")</f>
        <v>0</v>
      </c>
      <c r="G7" s="15" t="str">
        <f aca="false">IF($C7=0,"",F7/$C7)</f>
        <v/>
      </c>
      <c r="H7" s="14" t="n">
        <f aca="false">COUNTIF(02子本!$E$63:$E$77,"J+6")</f>
        <v>0</v>
      </c>
      <c r="I7" s="15" t="str">
        <f aca="false">IF($C7=0,"",H7/$C7)</f>
        <v/>
      </c>
      <c r="J7" s="14" t="n">
        <f aca="false">COUNTIF(02子本!$E$63:$E$77,"J+8")</f>
        <v>0</v>
      </c>
      <c r="K7" s="15" t="str">
        <f aca="false">IF($C7=0,"",J7/$C7)</f>
        <v/>
      </c>
      <c r="L7" s="14" t="n">
        <f aca="false">COUNTIF(02子本!$E$63:$E$77,"8以上")</f>
        <v>0</v>
      </c>
      <c r="M7" s="15" t="str">
        <f aca="false">IF($C7=0,"",L7/$C7)</f>
        <v/>
      </c>
      <c r="N7" s="20" t="n">
        <v>1</v>
      </c>
      <c r="O7" s="17" t="str">
        <f aca="false">IF($C7=0,"",(D7*2+F7*4+H7*6+J7*8+L7*8)/$C7)</f>
        <v/>
      </c>
    </row>
    <row r="8" customFormat="false" ht="21" hidden="false" customHeight="true" outlineLevel="0" collapsed="false">
      <c r="A8" s="21" t="s">
        <v>21</v>
      </c>
      <c r="B8" s="21"/>
      <c r="C8" s="22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</row>
    <row r="9" customFormat="false" ht="60.75" hidden="false" customHeight="true" outlineLevel="0" collapsed="false">
      <c r="A9" s="24" t="n">
        <v>1</v>
      </c>
      <c r="B9" s="25" t="s">
        <v>22</v>
      </c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</row>
    <row r="10" customFormat="false" ht="21" hidden="false" customHeight="true" outlineLevel="0" collapsed="false">
      <c r="A10" s="24" t="n">
        <v>2</v>
      </c>
      <c r="B10" s="26" t="s">
        <v>23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</row>
    <row r="11" customFormat="false" ht="39" hidden="false" customHeight="true" outlineLevel="0" collapsed="false">
      <c r="A11" s="24" t="n">
        <v>3</v>
      </c>
      <c r="B11" s="25" t="s">
        <v>24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customFormat="false" ht="39.75" hidden="false" customHeight="true" outlineLevel="0" collapsed="false">
      <c r="A12" s="24" t="n">
        <v>4</v>
      </c>
      <c r="B12" s="25" t="s">
        <v>25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</row>
    <row r="13" customFormat="false" ht="40.5" hidden="false" customHeight="true" outlineLevel="0" collapsed="false">
      <c r="A13" s="24" t="n">
        <v>5</v>
      </c>
      <c r="B13" s="25" t="s">
        <v>26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</row>
    <row r="14" customFormat="false" ht="21" hidden="false" customHeight="true" outlineLevel="0" collapsed="false">
      <c r="B14" s="27" t="s">
        <v>27</v>
      </c>
      <c r="C14" s="27"/>
      <c r="D14" s="28"/>
      <c r="E14" s="28"/>
      <c r="F14" s="29" t="s">
        <v>28</v>
      </c>
      <c r="G14" s="29"/>
      <c r="H14" s="30"/>
      <c r="I14" s="30"/>
      <c r="J14" s="31"/>
      <c r="K14" s="31"/>
      <c r="O14" s="28"/>
    </row>
  </sheetData>
  <mergeCells count="12">
    <mergeCell ref="A1:M1"/>
    <mergeCell ref="A3:B3"/>
    <mergeCell ref="A4:B4"/>
    <mergeCell ref="A5:B5"/>
    <mergeCell ref="A6:B6"/>
    <mergeCell ref="A7:B7"/>
    <mergeCell ref="A8:B8"/>
    <mergeCell ref="B9:O9"/>
    <mergeCell ref="B10:O10"/>
    <mergeCell ref="B11:O11"/>
    <mergeCell ref="B12:O12"/>
    <mergeCell ref="B13:O13"/>
  </mergeCells>
  <printOptions headings="false" gridLines="false" gridLinesSet="true" horizontalCentered="true" verticalCentered="true"/>
  <pageMargins left="0.157638888888889" right="0.551388888888889" top="0.196527777777778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E5CC"/>
    <pageSetUpPr fitToPage="false"/>
  </sheetPr>
  <dimension ref="A1:E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" defaultRowHeight="21" zeroHeight="false" outlineLevelRow="0" outlineLevelCol="0"/>
  <cols>
    <col collapsed="false" customWidth="true" hidden="false" outlineLevel="0" max="1" min="1" style="32" width="34.63"/>
    <col collapsed="false" customWidth="true" hidden="false" outlineLevel="0" max="3" min="2" style="32" width="17.63"/>
    <col collapsed="false" customWidth="true" hidden="false" outlineLevel="0" max="5" min="4" style="32" width="9.63"/>
    <col collapsed="false" customWidth="false" hidden="false" outlineLevel="0" max="16384" min="6" style="32" width="9"/>
  </cols>
  <sheetData>
    <row r="1" customFormat="false" ht="39.75" hidden="false" customHeight="true" outlineLevel="0" collapsed="false">
      <c r="A1" s="33" t="str">
        <f aca="false">"中和郵務股"&amp;'02'!$G$2&amp;'02'!$H$2&amp;"份 本口 快捷郵遞時效表"</f>
        <v>中和郵務股115年2月份 本口 快捷郵遞時效表</v>
      </c>
      <c r="B1" s="33"/>
      <c r="C1" s="33"/>
      <c r="D1" s="33"/>
      <c r="E1" s="33"/>
    </row>
    <row r="2" customFormat="false" ht="30" hidden="false" customHeight="true" outlineLevel="0" collapsed="false">
      <c r="A2" s="34" t="s">
        <v>29</v>
      </c>
      <c r="B2" s="34" t="s">
        <v>30</v>
      </c>
      <c r="C2" s="34" t="s">
        <v>31</v>
      </c>
      <c r="D2" s="34" t="s">
        <v>32</v>
      </c>
      <c r="E2" s="34" t="s">
        <v>33</v>
      </c>
    </row>
    <row r="3" customFormat="false" ht="30" hidden="false" customHeight="true" outlineLevel="0" collapsed="false">
      <c r="A3" s="35"/>
      <c r="B3" s="36"/>
      <c r="C3" s="37"/>
      <c r="D3" s="38" t="str">
        <f aca="false">IF(OR(B3="",C3=""),"",ROUND((IF(C3&lt;1,INT(B3)+C3,C3)-B3)*1440,0)/1440)</f>
        <v/>
      </c>
      <c r="E3" s="39" t="str">
        <f aca="false">IF(D3="","",IF(D3&lt;0,"打日期",IF(D3*1440&lt;=120,"J+2",IF(D3*1440&lt;=240,"J+4",IF(D3*1440&lt;=360,"J+6",IF(D3*1440&lt;=480,"J+8","8以上"))))))</f>
        <v/>
      </c>
    </row>
    <row r="4" customFormat="false" ht="30" hidden="false" customHeight="true" outlineLevel="0" collapsed="false">
      <c r="A4" s="35"/>
      <c r="B4" s="36"/>
      <c r="C4" s="37"/>
      <c r="D4" s="38" t="str">
        <f aca="false">IF(OR(B4="",C4=""),"",ROUND((IF(C4&lt;1,INT(B4)+C4,C4)-B4)*1440,0)/1440)</f>
        <v/>
      </c>
      <c r="E4" s="39" t="str">
        <f aca="false">IF(D4="","",IF(D4&lt;0,"打日期",IF(D4*1440&lt;=120,"J+2",IF(D4*1440&lt;=240,"J+4",IF(D4*1440&lt;=360,"J+6",IF(D4*1440&lt;=480,"J+8","8以上"))))))</f>
        <v/>
      </c>
    </row>
    <row r="5" customFormat="false" ht="30" hidden="false" customHeight="true" outlineLevel="0" collapsed="false">
      <c r="A5" s="35"/>
      <c r="B5" s="36"/>
      <c r="C5" s="37"/>
      <c r="D5" s="38" t="str">
        <f aca="false">IF(OR(B5="",C5=""),"",ROUND((IF(C5&lt;1,INT(B5)+C5,C5)-B5)*1440,0)/1440)</f>
        <v/>
      </c>
      <c r="E5" s="39" t="str">
        <f aca="false">IF(D5="","",IF(D5&lt;0,"打日期",IF(D5*1440&lt;=120,"J+2",IF(D5*1440&lt;=240,"J+4",IF(D5*1440&lt;=360,"J+6",IF(D5*1440&lt;=480,"J+8","8以上"))))))</f>
        <v/>
      </c>
    </row>
    <row r="6" customFormat="false" ht="30" hidden="false" customHeight="true" outlineLevel="0" collapsed="false">
      <c r="A6" s="35"/>
      <c r="B6" s="36"/>
      <c r="C6" s="37"/>
      <c r="D6" s="38" t="str">
        <f aca="false">IF(OR(B6="",C6=""),"",ROUND((IF(C6&lt;1,INT(B6)+C6,C6)-B6)*1440,0)/1440)</f>
        <v/>
      </c>
      <c r="E6" s="39" t="str">
        <f aca="false">IF(D6="","",IF(D6&lt;0,"打日期",IF(D6*1440&lt;=120,"J+2",IF(D6*1440&lt;=240,"J+4",IF(D6*1440&lt;=360,"J+6",IF(D6*1440&lt;=480,"J+8","8以上"))))))</f>
        <v/>
      </c>
    </row>
    <row r="7" customFormat="false" ht="30" hidden="false" customHeight="true" outlineLevel="0" collapsed="false">
      <c r="A7" s="35"/>
      <c r="B7" s="36"/>
      <c r="C7" s="37"/>
      <c r="D7" s="38" t="str">
        <f aca="false">IF(OR(B7="",C7=""),"",ROUND((IF(C7&lt;1,INT(B7)+C7,C7)-B7)*1440,0)/1440)</f>
        <v/>
      </c>
      <c r="E7" s="39" t="str">
        <f aca="false">IF(D7="","",IF(D7&lt;0,"打日期",IF(D7*1440&lt;=120,"J+2",IF(D7*1440&lt;=240,"J+4",IF(D7*1440&lt;=360,"J+6",IF(D7*1440&lt;=480,"J+8","8以上"))))))</f>
        <v/>
      </c>
    </row>
    <row r="8" customFormat="false" ht="30" hidden="false" customHeight="true" outlineLevel="0" collapsed="false">
      <c r="A8" s="35"/>
      <c r="B8" s="36"/>
      <c r="C8" s="37"/>
      <c r="D8" s="38" t="str">
        <f aca="false">IF(OR(B8="",C8=""),"",ROUND((IF(C8&lt;1,INT(B8)+C8,C8)-B8)*1440,0)/1440)</f>
        <v/>
      </c>
      <c r="E8" s="39" t="str">
        <f aca="false">IF(D8="","",IF(D8&lt;0,"打日期",IF(D8*1440&lt;=120,"J+2",IF(D8*1440&lt;=240,"J+4",IF(D8*1440&lt;=360,"J+6",IF(D8*1440&lt;=480,"J+8","8以上"))))))</f>
        <v/>
      </c>
    </row>
    <row r="9" customFormat="false" ht="30" hidden="false" customHeight="true" outlineLevel="0" collapsed="false">
      <c r="A9" s="35"/>
      <c r="B9" s="36"/>
      <c r="C9" s="37"/>
      <c r="D9" s="38" t="str">
        <f aca="false">IF(OR(B9="",C9=""),"",ROUND((IF(C9&lt;1,INT(B9)+C9,C9)-B9)*1440,0)/1440)</f>
        <v/>
      </c>
      <c r="E9" s="39" t="str">
        <f aca="false">IF(D9="","",IF(D9&lt;0,"打日期",IF(D9*1440&lt;=120,"J+2",IF(D9*1440&lt;=240,"J+4",IF(D9*1440&lt;=360,"J+6",IF(D9*1440&lt;=480,"J+8","8以上"))))))</f>
        <v/>
      </c>
    </row>
    <row r="10" customFormat="false" ht="30" hidden="false" customHeight="true" outlineLevel="0" collapsed="false">
      <c r="A10" s="35"/>
      <c r="B10" s="36"/>
      <c r="C10" s="37"/>
      <c r="D10" s="38" t="str">
        <f aca="false">IF(OR(B10="",C10=""),"",ROUND((IF(C10&lt;1,INT(B10)+C10,C10)-B10)*1440,0)/1440)</f>
        <v/>
      </c>
      <c r="E10" s="39" t="str">
        <f aca="false">IF(D10="","",IF(D10&lt;0,"打日期",IF(D10*1440&lt;=120,"J+2",IF(D10*1440&lt;=240,"J+4",IF(D10*1440&lt;=360,"J+6",IF(D10*1440&lt;=480,"J+8","8以上"))))))</f>
        <v/>
      </c>
    </row>
    <row r="11" customFormat="false" ht="30" hidden="false" customHeight="true" outlineLevel="0" collapsed="false">
      <c r="A11" s="35"/>
      <c r="B11" s="36"/>
      <c r="C11" s="37"/>
      <c r="D11" s="38" t="str">
        <f aca="false">IF(OR(B11="",C11=""),"",ROUND((IF(C11&lt;1,INT(B11)+C11,C11)-B11)*1440,0)/1440)</f>
        <v/>
      </c>
      <c r="E11" s="39" t="str">
        <f aca="false">IF(D11="","",IF(D11&lt;0,"打日期",IF(D11*1440&lt;=120,"J+2",IF(D11*1440&lt;=240,"J+4",IF(D11*1440&lt;=360,"J+6",IF(D11*1440&lt;=480,"J+8","8以上"))))))</f>
        <v/>
      </c>
    </row>
    <row r="12" customFormat="false" ht="30" hidden="false" customHeight="true" outlineLevel="0" collapsed="false">
      <c r="A12" s="35"/>
      <c r="B12" s="36"/>
      <c r="C12" s="37"/>
      <c r="D12" s="38" t="str">
        <f aca="false">IF(OR(B12="",C12=""),"",ROUND((IF(C12&lt;1,INT(B12)+C12,C12)-B12)*1440,0)/1440)</f>
        <v/>
      </c>
      <c r="E12" s="39" t="str">
        <f aca="false">IF(D12="","",IF(D12&lt;0,"打日期",IF(D12*1440&lt;=120,"J+2",IF(D12*1440&lt;=240,"J+4",IF(D12*1440&lt;=360,"J+6",IF(D12*1440&lt;=480,"J+8","8以上"))))))</f>
        <v/>
      </c>
    </row>
    <row r="13" customFormat="false" ht="30" hidden="false" customHeight="true" outlineLevel="0" collapsed="false">
      <c r="A13" s="35"/>
      <c r="B13" s="36"/>
      <c r="C13" s="37"/>
      <c r="D13" s="38" t="str">
        <f aca="false">IF(OR(B13="",C13=""),"",ROUND((IF(C13&lt;1,INT(B13)+C13,C13)-B13)*1440,0)/1440)</f>
        <v/>
      </c>
      <c r="E13" s="39" t="str">
        <f aca="false">IF(D13="","",IF(D13&lt;0,"打日期",IF(D13*1440&lt;=120,"J+2",IF(D13*1440&lt;=240,"J+4",IF(D13*1440&lt;=360,"J+6",IF(D13*1440&lt;=480,"J+8","8以上"))))))</f>
        <v/>
      </c>
    </row>
    <row r="14" customFormat="false" ht="30" hidden="false" customHeight="true" outlineLevel="0" collapsed="false">
      <c r="A14" s="35"/>
      <c r="B14" s="36"/>
      <c r="C14" s="37"/>
      <c r="D14" s="38" t="str">
        <f aca="false">IF(OR(B14="",C14=""),"",ROUND((IF(C14&lt;1,INT(B14)+C14,C14)-B14)*1440,0)/1440)</f>
        <v/>
      </c>
      <c r="E14" s="39" t="str">
        <f aca="false">IF(D14="","",IF(D14&lt;0,"打日期",IF(D14*1440&lt;=120,"J+2",IF(D14*1440&lt;=240,"J+4",IF(D14*1440&lt;=360,"J+6",IF(D14*1440&lt;=480,"J+8","8以上"))))))</f>
        <v/>
      </c>
    </row>
    <row r="15" customFormat="false" ht="30" hidden="false" customHeight="true" outlineLevel="0" collapsed="false">
      <c r="A15" s="35"/>
      <c r="B15" s="36"/>
      <c r="C15" s="37"/>
      <c r="D15" s="38" t="str">
        <f aca="false">IF(OR(B15="",C15=""),"",ROUND((IF(C15&lt;1,INT(B15)+C15,C15)-B15)*1440,0)/1440)</f>
        <v/>
      </c>
      <c r="E15" s="39" t="str">
        <f aca="false">IF(D15="","",IF(D15&lt;0,"打日期",IF(D15*1440&lt;=120,"J+2",IF(D15*1440&lt;=240,"J+4",IF(D15*1440&lt;=360,"J+6",IF(D15*1440&lt;=480,"J+8","8以上"))))))</f>
        <v/>
      </c>
    </row>
    <row r="16" customFormat="false" ht="30" hidden="false" customHeight="true" outlineLevel="0" collapsed="false">
      <c r="A16" s="35"/>
      <c r="B16" s="36"/>
      <c r="C16" s="37"/>
      <c r="D16" s="38" t="str">
        <f aca="false">IF(OR(B16="",C16=""),"",ROUND((IF(C16&lt;1,INT(B16)+C16,C16)-B16)*1440,0)/1440)</f>
        <v/>
      </c>
      <c r="E16" s="39" t="str">
        <f aca="false">IF(D16="","",IF(D16&lt;0,"打日期",IF(D16*1440&lt;=120,"J+2",IF(D16*1440&lt;=240,"J+4",IF(D16*1440&lt;=360,"J+6",IF(D16*1440&lt;=480,"J+8","8以上"))))))</f>
        <v/>
      </c>
    </row>
    <row r="17" customFormat="false" ht="30" hidden="false" customHeight="true" outlineLevel="0" collapsed="false">
      <c r="A17" s="35"/>
      <c r="B17" s="36"/>
      <c r="C17" s="37"/>
      <c r="D17" s="38" t="str">
        <f aca="false">IF(OR(B17="",C17=""),"",ROUND((IF(C17&lt;1,INT(B17)+C17,C17)-B17)*1440,0)/1440)</f>
        <v/>
      </c>
      <c r="E17" s="39" t="str">
        <f aca="false">IF(D17="","",IF(D17&lt;0,"打日期",IF(D17*1440&lt;=120,"J+2",IF(D17*1440&lt;=240,"J+4",IF(D17*1440&lt;=360,"J+6",IF(D17*1440&lt;=480,"J+8","8以上"))))))</f>
        <v/>
      </c>
    </row>
    <row r="18" customFormat="false" ht="75" hidden="false" customHeight="true" outlineLevel="0" collapsed="false">
      <c r="A18" s="40" t="s">
        <v>34</v>
      </c>
      <c r="B18" s="40"/>
      <c r="C18" s="40"/>
      <c r="D18" s="40"/>
      <c r="E18" s="40"/>
    </row>
    <row r="20" customFormat="false" ht="21" hidden="false" customHeight="true" outlineLevel="0" collapsed="false">
      <c r="A20" s="41" t="s">
        <v>35</v>
      </c>
      <c r="C20" s="41" t="s">
        <v>28</v>
      </c>
    </row>
    <row r="21" customFormat="false" ht="39.75" hidden="false" customHeight="true" outlineLevel="0" collapsed="false">
      <c r="A21" s="33" t="str">
        <f aca="false">"中和郵務股"&amp;'02'!$G$2&amp;'02'!$H$2&amp;"份 十大都會區 快捷郵遞時效表"</f>
        <v>中和郵務股115年2月份 十大都會區 快捷郵遞時效表</v>
      </c>
      <c r="B21" s="33"/>
      <c r="C21" s="33"/>
      <c r="D21" s="33"/>
      <c r="E21" s="33"/>
    </row>
    <row r="22" customFormat="false" ht="30" hidden="false" customHeight="true" outlineLevel="0" collapsed="false">
      <c r="A22" s="34" t="s">
        <v>29</v>
      </c>
      <c r="B22" s="34" t="s">
        <v>30</v>
      </c>
      <c r="C22" s="34" t="s">
        <v>31</v>
      </c>
      <c r="D22" s="34" t="s">
        <v>32</v>
      </c>
      <c r="E22" s="34" t="s">
        <v>33</v>
      </c>
    </row>
    <row r="23" customFormat="false" ht="30" hidden="false" customHeight="true" outlineLevel="0" collapsed="false">
      <c r="A23" s="35"/>
      <c r="B23" s="36"/>
      <c r="C23" s="37"/>
      <c r="D23" s="38" t="str">
        <f aca="false">IF(OR(B23="",C23=""),"",ROUND((IF(C23&lt;1,INT(B23)+C23,C23)-B23)*1440,0)/1440)</f>
        <v/>
      </c>
      <c r="E23" s="39" t="str">
        <f aca="false">IF(D23="","",IF(D23&lt;0,"打日期",IF(D23*1440&lt;=120,"J+2",IF(D23*1440&lt;=240,"J+4",IF(D23*1440&lt;=360,"J+6",IF(D23*1440&lt;=480,"J+8","8以上"))))))</f>
        <v/>
      </c>
    </row>
    <row r="24" customFormat="false" ht="30" hidden="false" customHeight="true" outlineLevel="0" collapsed="false">
      <c r="A24" s="35"/>
      <c r="B24" s="36"/>
      <c r="C24" s="37"/>
      <c r="D24" s="38" t="str">
        <f aca="false">IF(OR(B24="",C24=""),"",ROUND((IF(C24&lt;1,INT(B24)+C24,C24)-B24)*1440,0)/1440)</f>
        <v/>
      </c>
      <c r="E24" s="39" t="str">
        <f aca="false">IF(D24="","",IF(D24&lt;0,"打日期",IF(D24*1440&lt;=120,"J+2",IF(D24*1440&lt;=240,"J+4",IF(D24*1440&lt;=360,"J+6",IF(D24*1440&lt;=480,"J+8","8以上"))))))</f>
        <v/>
      </c>
    </row>
    <row r="25" customFormat="false" ht="30" hidden="false" customHeight="true" outlineLevel="0" collapsed="false">
      <c r="A25" s="35"/>
      <c r="B25" s="36"/>
      <c r="C25" s="37"/>
      <c r="D25" s="38" t="str">
        <f aca="false">IF(OR(B25="",C25=""),"",ROUND((IF(C25&lt;1,INT(B25)+C25,C25)-B25)*1440,0)/1440)</f>
        <v/>
      </c>
      <c r="E25" s="39" t="str">
        <f aca="false">IF(D25="","",IF(D25&lt;0,"打日期",IF(D25*1440&lt;=120,"J+2",IF(D25*1440&lt;=240,"J+4",IF(D25*1440&lt;=360,"J+6",IF(D25*1440&lt;=480,"J+8","8以上"))))))</f>
        <v/>
      </c>
    </row>
    <row r="26" customFormat="false" ht="30" hidden="false" customHeight="true" outlineLevel="0" collapsed="false">
      <c r="A26" s="35"/>
      <c r="B26" s="36"/>
      <c r="C26" s="37"/>
      <c r="D26" s="38" t="str">
        <f aca="false">IF(OR(B26="",C26=""),"",ROUND((IF(C26&lt;1,INT(B26)+C26,C26)-B26)*1440,0)/1440)</f>
        <v/>
      </c>
      <c r="E26" s="39" t="str">
        <f aca="false">IF(D26="","",IF(D26&lt;0,"打日期",IF(D26*1440&lt;=120,"J+2",IF(D26*1440&lt;=240,"J+4",IF(D26*1440&lt;=360,"J+6",IF(D26*1440&lt;=480,"J+8","8以上"))))))</f>
        <v/>
      </c>
    </row>
    <row r="27" customFormat="false" ht="30" hidden="false" customHeight="true" outlineLevel="0" collapsed="false">
      <c r="A27" s="35"/>
      <c r="B27" s="36"/>
      <c r="C27" s="37"/>
      <c r="D27" s="38" t="str">
        <f aca="false">IF(OR(B27="",C27=""),"",ROUND((IF(C27&lt;1,INT(B27)+C27,C27)-B27)*1440,0)/1440)</f>
        <v/>
      </c>
      <c r="E27" s="39" t="str">
        <f aca="false">IF(D27="","",IF(D27&lt;0,"打日期",IF(D27*1440&lt;=120,"J+2",IF(D27*1440&lt;=240,"J+4",IF(D27*1440&lt;=360,"J+6",IF(D27*1440&lt;=480,"J+8","8以上"))))))</f>
        <v/>
      </c>
    </row>
    <row r="28" customFormat="false" ht="30" hidden="false" customHeight="true" outlineLevel="0" collapsed="false">
      <c r="A28" s="35"/>
      <c r="B28" s="36"/>
      <c r="C28" s="37"/>
      <c r="D28" s="38" t="str">
        <f aca="false">IF(OR(B28="",C28=""),"",ROUND((IF(C28&lt;1,INT(B28)+C28,C28)-B28)*1440,0)/1440)</f>
        <v/>
      </c>
      <c r="E28" s="39" t="str">
        <f aca="false">IF(D28="","",IF(D28&lt;0,"打日期",IF(D28*1440&lt;=120,"J+2",IF(D28*1440&lt;=240,"J+4",IF(D28*1440&lt;=360,"J+6",IF(D28*1440&lt;=480,"J+8","8以上"))))))</f>
        <v/>
      </c>
    </row>
    <row r="29" customFormat="false" ht="30" hidden="false" customHeight="true" outlineLevel="0" collapsed="false">
      <c r="A29" s="35"/>
      <c r="B29" s="36"/>
      <c r="C29" s="37"/>
      <c r="D29" s="38" t="str">
        <f aca="false">IF(OR(B29="",C29=""),"",ROUND((IF(C29&lt;1,INT(B29)+C29,C29)-B29)*1440,0)/1440)</f>
        <v/>
      </c>
      <c r="E29" s="39" t="str">
        <f aca="false">IF(D29="","",IF(D29&lt;0,"打日期",IF(D29*1440&lt;=120,"J+2",IF(D29*1440&lt;=240,"J+4",IF(D29*1440&lt;=360,"J+6",IF(D29*1440&lt;=480,"J+8","8以上"))))))</f>
        <v/>
      </c>
    </row>
    <row r="30" customFormat="false" ht="30" hidden="false" customHeight="true" outlineLevel="0" collapsed="false">
      <c r="A30" s="35"/>
      <c r="B30" s="36"/>
      <c r="C30" s="37"/>
      <c r="D30" s="38" t="str">
        <f aca="false">IF(OR(B30="",C30=""),"",ROUND((IF(C30&lt;1,INT(B30)+C30,C30)-B30)*1440,0)/1440)</f>
        <v/>
      </c>
      <c r="E30" s="39" t="str">
        <f aca="false">IF(D30="","",IF(D30&lt;0,"打日期",IF(D30*1440&lt;=120,"J+2",IF(D30*1440&lt;=240,"J+4",IF(D30*1440&lt;=360,"J+6",IF(D30*1440&lt;=480,"J+8","8以上"))))))</f>
        <v/>
      </c>
    </row>
    <row r="31" customFormat="false" ht="30" hidden="false" customHeight="true" outlineLevel="0" collapsed="false">
      <c r="A31" s="35"/>
      <c r="B31" s="36"/>
      <c r="C31" s="37"/>
      <c r="D31" s="38" t="str">
        <f aca="false">IF(OR(B31="",C31=""),"",ROUND((IF(C31&lt;1,INT(B31)+C31,C31)-B31)*1440,0)/1440)</f>
        <v/>
      </c>
      <c r="E31" s="39" t="str">
        <f aca="false">IF(D31="","",IF(D31&lt;0,"打日期",IF(D31*1440&lt;=120,"J+2",IF(D31*1440&lt;=240,"J+4",IF(D31*1440&lt;=360,"J+6",IF(D31*1440&lt;=480,"J+8","8以上"))))))</f>
        <v/>
      </c>
    </row>
    <row r="32" customFormat="false" ht="30" hidden="false" customHeight="true" outlineLevel="0" collapsed="false">
      <c r="A32" s="35"/>
      <c r="B32" s="36"/>
      <c r="C32" s="37"/>
      <c r="D32" s="38" t="str">
        <f aca="false">IF(OR(B32="",C32=""),"",ROUND((IF(C32&lt;1,INT(B32)+C32,C32)-B32)*1440,0)/1440)</f>
        <v/>
      </c>
      <c r="E32" s="39" t="str">
        <f aca="false">IF(D32="","",IF(D32&lt;0,"打日期",IF(D32*1440&lt;=120,"J+2",IF(D32*1440&lt;=240,"J+4",IF(D32*1440&lt;=360,"J+6",IF(D32*1440&lt;=480,"J+8","8以上"))))))</f>
        <v/>
      </c>
    </row>
    <row r="33" customFormat="false" ht="30" hidden="false" customHeight="true" outlineLevel="0" collapsed="false">
      <c r="A33" s="35"/>
      <c r="B33" s="36"/>
      <c r="C33" s="37"/>
      <c r="D33" s="38" t="str">
        <f aca="false">IF(OR(B33="",C33=""),"",ROUND((IF(C33&lt;1,INT(B33)+C33,C33)-B33)*1440,0)/1440)</f>
        <v/>
      </c>
      <c r="E33" s="39" t="str">
        <f aca="false">IF(D33="","",IF(D33&lt;0,"打日期",IF(D33*1440&lt;=120,"J+2",IF(D33*1440&lt;=240,"J+4",IF(D33*1440&lt;=360,"J+6",IF(D33*1440&lt;=480,"J+8","8以上"))))))</f>
        <v/>
      </c>
    </row>
    <row r="34" customFormat="false" ht="30" hidden="false" customHeight="true" outlineLevel="0" collapsed="false">
      <c r="A34" s="35"/>
      <c r="B34" s="36"/>
      <c r="C34" s="37"/>
      <c r="D34" s="38" t="str">
        <f aca="false">IF(OR(B34="",C34=""),"",ROUND((IF(C34&lt;1,INT(B34)+C34,C34)-B34)*1440,0)/1440)</f>
        <v/>
      </c>
      <c r="E34" s="39" t="str">
        <f aca="false">IF(D34="","",IF(D34&lt;0,"打日期",IF(D34*1440&lt;=120,"J+2",IF(D34*1440&lt;=240,"J+4",IF(D34*1440&lt;=360,"J+6",IF(D34*1440&lt;=480,"J+8","8以上"))))))</f>
        <v/>
      </c>
    </row>
    <row r="35" customFormat="false" ht="30" hidden="false" customHeight="true" outlineLevel="0" collapsed="false">
      <c r="A35" s="35"/>
      <c r="B35" s="36"/>
      <c r="C35" s="37"/>
      <c r="D35" s="38" t="str">
        <f aca="false">IF(OR(B35="",C35=""),"",ROUND((IF(C35&lt;1,INT(B35)+C35,C35)-B35)*1440,0)/1440)</f>
        <v/>
      </c>
      <c r="E35" s="39" t="str">
        <f aca="false">IF(D35="","",IF(D35&lt;0,"打日期",IF(D35*1440&lt;=120,"J+2",IF(D35*1440&lt;=240,"J+4",IF(D35*1440&lt;=360,"J+6",IF(D35*1440&lt;=480,"J+8","8以上"))))))</f>
        <v/>
      </c>
    </row>
    <row r="36" customFormat="false" ht="30" hidden="false" customHeight="true" outlineLevel="0" collapsed="false">
      <c r="A36" s="35"/>
      <c r="B36" s="36"/>
      <c r="C36" s="37"/>
      <c r="D36" s="38" t="str">
        <f aca="false">IF(OR(B36="",C36=""),"",ROUND((IF(C36&lt;1,INT(B36)+C36,C36)-B36)*1440,0)/1440)</f>
        <v/>
      </c>
      <c r="E36" s="39" t="str">
        <f aca="false">IF(D36="","",IF(D36&lt;0,"打日期",IF(D36*1440&lt;=120,"J+2",IF(D36*1440&lt;=240,"J+4",IF(D36*1440&lt;=360,"J+6",IF(D36*1440&lt;=480,"J+8","8以上"))))))</f>
        <v/>
      </c>
    </row>
    <row r="37" customFormat="false" ht="30" hidden="false" customHeight="true" outlineLevel="0" collapsed="false">
      <c r="A37" s="35"/>
      <c r="B37" s="36"/>
      <c r="C37" s="37"/>
      <c r="D37" s="38" t="str">
        <f aca="false">IF(OR(B37="",C37=""),"",ROUND((IF(C37&lt;1,INT(B37)+C37,C37)-B37)*1440,0)/1440)</f>
        <v/>
      </c>
      <c r="E37" s="39" t="str">
        <f aca="false">IF(D37="","",IF(D37&lt;0,"打日期",IF(D37*1440&lt;=120,"J+2",IF(D37*1440&lt;=240,"J+4",IF(D37*1440&lt;=360,"J+6",IF(D37*1440&lt;=480,"J+8","8以上"))))))</f>
        <v/>
      </c>
    </row>
    <row r="38" customFormat="false" ht="75" hidden="false" customHeight="true" outlineLevel="0" collapsed="false">
      <c r="A38" s="40" t="s">
        <v>36</v>
      </c>
      <c r="B38" s="40"/>
      <c r="C38" s="40"/>
      <c r="D38" s="40"/>
      <c r="E38" s="40"/>
    </row>
    <row r="40" customFormat="false" ht="21" hidden="false" customHeight="true" outlineLevel="0" collapsed="false">
      <c r="A40" s="41" t="s">
        <v>35</v>
      </c>
      <c r="C40" s="41" t="s">
        <v>28</v>
      </c>
    </row>
    <row r="41" customFormat="false" ht="39.75" hidden="false" customHeight="true" outlineLevel="0" collapsed="false">
      <c r="A41" s="33" t="str">
        <f aca="false">"中和郵務股"&amp;'02'!$G$2&amp;'02'!$H$2&amp;"份 區域內互寄 快捷郵遞時效表"</f>
        <v>中和郵務股115年2月份 區域內互寄 快捷郵遞時效表</v>
      </c>
      <c r="B41" s="33"/>
      <c r="C41" s="33"/>
      <c r="D41" s="33"/>
      <c r="E41" s="33"/>
    </row>
    <row r="42" customFormat="false" ht="30" hidden="false" customHeight="true" outlineLevel="0" collapsed="false">
      <c r="A42" s="34" t="s">
        <v>29</v>
      </c>
      <c r="B42" s="34" t="s">
        <v>30</v>
      </c>
      <c r="C42" s="34" t="s">
        <v>31</v>
      </c>
      <c r="D42" s="34" t="s">
        <v>32</v>
      </c>
      <c r="E42" s="34" t="s">
        <v>33</v>
      </c>
    </row>
    <row r="43" customFormat="false" ht="30" hidden="false" customHeight="true" outlineLevel="0" collapsed="false">
      <c r="A43" s="35"/>
      <c r="B43" s="36"/>
      <c r="C43" s="37"/>
      <c r="D43" s="38" t="str">
        <f aca="false">IF(OR(B43="",C43=""),"",ROUND((IF(C43&lt;1,INT(B43)+C43,C43)-B43)*1440,0)/1440)</f>
        <v/>
      </c>
      <c r="E43" s="39" t="str">
        <f aca="false">IF(D43="","",IF(D43&lt;0,"打日期",IF(D43*1440&lt;=120,"J+2",IF(D43*1440&lt;=240,"J+4",IF(D43*1440&lt;=360,"J+6",IF(D43*1440&lt;=480,"J+8","8以上"))))))</f>
        <v/>
      </c>
    </row>
    <row r="44" customFormat="false" ht="30" hidden="false" customHeight="true" outlineLevel="0" collapsed="false">
      <c r="A44" s="35"/>
      <c r="B44" s="36"/>
      <c r="C44" s="37"/>
      <c r="D44" s="38" t="str">
        <f aca="false">IF(OR(B44="",C44=""),"",ROUND((IF(C44&lt;1,INT(B44)+C44,C44)-B44)*1440,0)/1440)</f>
        <v/>
      </c>
      <c r="E44" s="39" t="str">
        <f aca="false">IF(D44="","",IF(D44&lt;0,"打日期",IF(D44*1440&lt;=120,"J+2",IF(D44*1440&lt;=240,"J+4",IF(D44*1440&lt;=360,"J+6",IF(D44*1440&lt;=480,"J+8","8以上"))))))</f>
        <v/>
      </c>
    </row>
    <row r="45" customFormat="false" ht="30" hidden="false" customHeight="true" outlineLevel="0" collapsed="false">
      <c r="A45" s="35"/>
      <c r="B45" s="36"/>
      <c r="C45" s="37"/>
      <c r="D45" s="38" t="str">
        <f aca="false">IF(OR(B45="",C45=""),"",ROUND((IF(C45&lt;1,INT(B45)+C45,C45)-B45)*1440,0)/1440)</f>
        <v/>
      </c>
      <c r="E45" s="39" t="str">
        <f aca="false">IF(D45="","",IF(D45&lt;0,"打日期",IF(D45*1440&lt;=120,"J+2",IF(D45*1440&lt;=240,"J+4",IF(D45*1440&lt;=360,"J+6",IF(D45*1440&lt;=480,"J+8","8以上"))))))</f>
        <v/>
      </c>
    </row>
    <row r="46" customFormat="false" ht="30" hidden="false" customHeight="true" outlineLevel="0" collapsed="false">
      <c r="A46" s="35"/>
      <c r="B46" s="36"/>
      <c r="C46" s="37"/>
      <c r="D46" s="38" t="str">
        <f aca="false">IF(OR(B46="",C46=""),"",ROUND((IF(C46&lt;1,INT(B46)+C46,C46)-B46)*1440,0)/1440)</f>
        <v/>
      </c>
      <c r="E46" s="39" t="str">
        <f aca="false">IF(D46="","",IF(D46&lt;0,"打日期",IF(D46*1440&lt;=120,"J+2",IF(D46*1440&lt;=240,"J+4",IF(D46*1440&lt;=360,"J+6",IF(D46*1440&lt;=480,"J+8","8以上"))))))</f>
        <v/>
      </c>
    </row>
    <row r="47" customFormat="false" ht="30" hidden="false" customHeight="true" outlineLevel="0" collapsed="false">
      <c r="A47" s="35"/>
      <c r="B47" s="36"/>
      <c r="C47" s="37"/>
      <c r="D47" s="38" t="str">
        <f aca="false">IF(OR(B47="",C47=""),"",ROUND((IF(C47&lt;1,INT(B47)+C47,C47)-B47)*1440,0)/1440)</f>
        <v/>
      </c>
      <c r="E47" s="39" t="str">
        <f aca="false">IF(D47="","",IF(D47&lt;0,"打日期",IF(D47*1440&lt;=120,"J+2",IF(D47*1440&lt;=240,"J+4",IF(D47*1440&lt;=360,"J+6",IF(D47*1440&lt;=480,"J+8","8以上"))))))</f>
        <v/>
      </c>
    </row>
    <row r="48" customFormat="false" ht="30" hidden="false" customHeight="true" outlineLevel="0" collapsed="false">
      <c r="A48" s="35"/>
      <c r="B48" s="36"/>
      <c r="C48" s="37"/>
      <c r="D48" s="38" t="str">
        <f aca="false">IF(OR(B48="",C48=""),"",ROUND((IF(C48&lt;1,INT(B48)+C48,C48)-B48)*1440,0)/1440)</f>
        <v/>
      </c>
      <c r="E48" s="39" t="str">
        <f aca="false">IF(D48="","",IF(D48&lt;0,"打日期",IF(D48*1440&lt;=120,"J+2",IF(D48*1440&lt;=240,"J+4",IF(D48*1440&lt;=360,"J+6",IF(D48*1440&lt;=480,"J+8","8以上"))))))</f>
        <v/>
      </c>
    </row>
    <row r="49" customFormat="false" ht="30" hidden="false" customHeight="true" outlineLevel="0" collapsed="false">
      <c r="A49" s="35"/>
      <c r="B49" s="36"/>
      <c r="C49" s="37"/>
      <c r="D49" s="38" t="str">
        <f aca="false">IF(OR(B49="",C49=""),"",ROUND((IF(C49&lt;1,INT(B49)+C49,C49)-B49)*1440,0)/1440)</f>
        <v/>
      </c>
      <c r="E49" s="39" t="str">
        <f aca="false">IF(D49="","",IF(D49&lt;0,"打日期",IF(D49*1440&lt;=120,"J+2",IF(D49*1440&lt;=240,"J+4",IF(D49*1440&lt;=360,"J+6",IF(D49*1440&lt;=480,"J+8","8以上"))))))</f>
        <v/>
      </c>
    </row>
    <row r="50" customFormat="false" ht="30" hidden="false" customHeight="true" outlineLevel="0" collapsed="false">
      <c r="A50" s="35"/>
      <c r="B50" s="36"/>
      <c r="C50" s="37"/>
      <c r="D50" s="38" t="str">
        <f aca="false">IF(OR(B50="",C50=""),"",ROUND((IF(C50&lt;1,INT(B50)+C50,C50)-B50)*1440,0)/1440)</f>
        <v/>
      </c>
      <c r="E50" s="39" t="str">
        <f aca="false">IF(D50="","",IF(D50&lt;0,"打日期",IF(D50*1440&lt;=120,"J+2",IF(D50*1440&lt;=240,"J+4",IF(D50*1440&lt;=360,"J+6",IF(D50*1440&lt;=480,"J+8","8以上"))))))</f>
        <v/>
      </c>
    </row>
    <row r="51" customFormat="false" ht="30" hidden="false" customHeight="true" outlineLevel="0" collapsed="false">
      <c r="A51" s="35"/>
      <c r="B51" s="36"/>
      <c r="C51" s="37"/>
      <c r="D51" s="38" t="str">
        <f aca="false">IF(OR(B51="",C51=""),"",ROUND((IF(C51&lt;1,INT(B51)+C51,C51)-B51)*1440,0)/1440)</f>
        <v/>
      </c>
      <c r="E51" s="39" t="str">
        <f aca="false">IF(D51="","",IF(D51&lt;0,"打日期",IF(D51*1440&lt;=120,"J+2",IF(D51*1440&lt;=240,"J+4",IF(D51*1440&lt;=360,"J+6",IF(D51*1440&lt;=480,"J+8","8以上"))))))</f>
        <v/>
      </c>
    </row>
    <row r="52" customFormat="false" ht="30" hidden="false" customHeight="true" outlineLevel="0" collapsed="false">
      <c r="A52" s="35"/>
      <c r="B52" s="36"/>
      <c r="C52" s="37"/>
      <c r="D52" s="38" t="str">
        <f aca="false">IF(OR(B52="",C52=""),"",ROUND((IF(C52&lt;1,INT(B52)+C52,C52)-B52)*1440,0)/1440)</f>
        <v/>
      </c>
      <c r="E52" s="39" t="str">
        <f aca="false">IF(D52="","",IF(D52&lt;0,"打日期",IF(D52*1440&lt;=120,"J+2",IF(D52*1440&lt;=240,"J+4",IF(D52*1440&lt;=360,"J+6",IF(D52*1440&lt;=480,"J+8","8以上"))))))</f>
        <v/>
      </c>
    </row>
    <row r="53" customFormat="false" ht="30" hidden="false" customHeight="true" outlineLevel="0" collapsed="false">
      <c r="A53" s="35"/>
      <c r="B53" s="36"/>
      <c r="C53" s="37"/>
      <c r="D53" s="38" t="str">
        <f aca="false">IF(OR(B53="",C53=""),"",ROUND((IF(C53&lt;1,INT(B53)+C53,C53)-B53)*1440,0)/1440)</f>
        <v/>
      </c>
      <c r="E53" s="39" t="str">
        <f aca="false">IF(D53="","",IF(D53&lt;0,"打日期",IF(D53*1440&lt;=120,"J+2",IF(D53*1440&lt;=240,"J+4",IF(D53*1440&lt;=360,"J+6",IF(D53*1440&lt;=480,"J+8","8以上"))))))</f>
        <v/>
      </c>
    </row>
    <row r="54" customFormat="false" ht="30" hidden="false" customHeight="true" outlineLevel="0" collapsed="false">
      <c r="A54" s="35"/>
      <c r="B54" s="36"/>
      <c r="C54" s="37"/>
      <c r="D54" s="38" t="str">
        <f aca="false">IF(OR(B54="",C54=""),"",ROUND((IF(C54&lt;1,INT(B54)+C54,C54)-B54)*1440,0)/1440)</f>
        <v/>
      </c>
      <c r="E54" s="39" t="str">
        <f aca="false">IF(D54="","",IF(D54&lt;0,"打日期",IF(D54*1440&lt;=120,"J+2",IF(D54*1440&lt;=240,"J+4",IF(D54*1440&lt;=360,"J+6",IF(D54*1440&lt;=480,"J+8","8以上"))))))</f>
        <v/>
      </c>
    </row>
    <row r="55" customFormat="false" ht="30" hidden="false" customHeight="true" outlineLevel="0" collapsed="false">
      <c r="A55" s="35"/>
      <c r="B55" s="36"/>
      <c r="C55" s="37"/>
      <c r="D55" s="38" t="str">
        <f aca="false">IF(OR(B55="",C55=""),"",ROUND((IF(C55&lt;1,INT(B55)+C55,C55)-B55)*1440,0)/1440)</f>
        <v/>
      </c>
      <c r="E55" s="39" t="str">
        <f aca="false">IF(D55="","",IF(D55&lt;0,"打日期",IF(D55*1440&lt;=120,"J+2",IF(D55*1440&lt;=240,"J+4",IF(D55*1440&lt;=360,"J+6",IF(D55*1440&lt;=480,"J+8","8以上"))))))</f>
        <v/>
      </c>
    </row>
    <row r="56" customFormat="false" ht="30" hidden="false" customHeight="true" outlineLevel="0" collapsed="false">
      <c r="A56" s="35"/>
      <c r="B56" s="36"/>
      <c r="C56" s="37"/>
      <c r="D56" s="38" t="str">
        <f aca="false">IF(OR(B56="",C56=""),"",ROUND((IF(C56&lt;1,INT(B56)+C56,C56)-B56)*1440,0)/1440)</f>
        <v/>
      </c>
      <c r="E56" s="39" t="str">
        <f aca="false">IF(D56="","",IF(D56&lt;0,"打日期",IF(D56*1440&lt;=120,"J+2",IF(D56*1440&lt;=240,"J+4",IF(D56*1440&lt;=360,"J+6",IF(D56*1440&lt;=480,"J+8","8以上"))))))</f>
        <v/>
      </c>
    </row>
    <row r="57" customFormat="false" ht="30" hidden="false" customHeight="true" outlineLevel="0" collapsed="false">
      <c r="A57" s="35"/>
      <c r="B57" s="36"/>
      <c r="C57" s="37"/>
      <c r="D57" s="38" t="str">
        <f aca="false">IF(OR(B57="",C57=""),"",ROUND((IF(C57&lt;1,INT(B57)+C57,C57)-B57)*1440,0)/1440)</f>
        <v/>
      </c>
      <c r="E57" s="39" t="str">
        <f aca="false">IF(D57="","",IF(D57&lt;0,"打日期",IF(D57*1440&lt;=120,"J+2",IF(D57*1440&lt;=240,"J+4",IF(D57*1440&lt;=360,"J+6",IF(D57*1440&lt;=480,"J+8","8以上"))))))</f>
        <v/>
      </c>
    </row>
    <row r="58" customFormat="false" ht="75" hidden="false" customHeight="true" outlineLevel="0" collapsed="false">
      <c r="A58" s="40" t="s">
        <v>37</v>
      </c>
      <c r="B58" s="40"/>
      <c r="C58" s="40"/>
      <c r="D58" s="40"/>
      <c r="E58" s="40"/>
    </row>
    <row r="60" customFormat="false" ht="21" hidden="false" customHeight="true" outlineLevel="0" collapsed="false">
      <c r="A60" s="41" t="s">
        <v>35</v>
      </c>
      <c r="C60" s="41" t="s">
        <v>28</v>
      </c>
    </row>
    <row r="61" customFormat="false" ht="39.75" hidden="false" customHeight="true" outlineLevel="0" collapsed="false">
      <c r="A61" s="33" t="str">
        <f aca="false">"中和郵務股"&amp;'02'!$G$2&amp;'02'!$H$2&amp;"份 轉口 快捷郵遞時效表"</f>
        <v>中和郵務股115年2月份 轉口 快捷郵遞時效表</v>
      </c>
      <c r="B61" s="33"/>
      <c r="C61" s="33"/>
      <c r="D61" s="33"/>
      <c r="E61" s="33"/>
    </row>
    <row r="62" customFormat="false" ht="30" hidden="false" customHeight="true" outlineLevel="0" collapsed="false">
      <c r="A62" s="34" t="s">
        <v>29</v>
      </c>
      <c r="B62" s="34" t="s">
        <v>30</v>
      </c>
      <c r="C62" s="34" t="s">
        <v>31</v>
      </c>
      <c r="D62" s="34" t="s">
        <v>32</v>
      </c>
      <c r="E62" s="34" t="s">
        <v>33</v>
      </c>
    </row>
    <row r="63" customFormat="false" ht="30" hidden="false" customHeight="true" outlineLevel="0" collapsed="false">
      <c r="A63" s="35"/>
      <c r="B63" s="36"/>
      <c r="C63" s="37"/>
      <c r="D63" s="38" t="str">
        <f aca="false">IF(OR(B63="",C63=""),"",ROUND((IF(C63&lt;1,INT(B63)+C63,C63)-B63)*1440,0)/1440)</f>
        <v/>
      </c>
      <c r="E63" s="39" t="str">
        <f aca="false">IF(D63="","",IF(D63&lt;0,"打日期",IF(D63*1440&lt;=120,"J+2",IF(D63*1440&lt;=240,"J+4",IF(D63*1440&lt;=360,"J+6",IF(D63*1440&lt;=480,"J+8","8以上"))))))</f>
        <v/>
      </c>
    </row>
    <row r="64" customFormat="false" ht="30" hidden="false" customHeight="true" outlineLevel="0" collapsed="false">
      <c r="A64" s="35"/>
      <c r="B64" s="36"/>
      <c r="C64" s="37"/>
      <c r="D64" s="38" t="str">
        <f aca="false">IF(OR(B64="",C64=""),"",ROUND((IF(C64&lt;1,INT(B64)+C64,C64)-B64)*1440,0)/1440)</f>
        <v/>
      </c>
      <c r="E64" s="39" t="str">
        <f aca="false">IF(D64="","",IF(D64&lt;0,"打日期",IF(D64*1440&lt;=120,"J+2",IF(D64*1440&lt;=240,"J+4",IF(D64*1440&lt;=360,"J+6",IF(D64*1440&lt;=480,"J+8","8以上"))))))</f>
        <v/>
      </c>
    </row>
    <row r="65" customFormat="false" ht="30" hidden="false" customHeight="true" outlineLevel="0" collapsed="false">
      <c r="A65" s="35"/>
      <c r="B65" s="36"/>
      <c r="C65" s="37"/>
      <c r="D65" s="38" t="str">
        <f aca="false">IF(OR(B65="",C65=""),"",ROUND((IF(C65&lt;1,INT(B65)+C65,C65)-B65)*1440,0)/1440)</f>
        <v/>
      </c>
      <c r="E65" s="39" t="str">
        <f aca="false">IF(D65="","",IF(D65&lt;0,"打日期",IF(D65*1440&lt;=120,"J+2",IF(D65*1440&lt;=240,"J+4",IF(D65*1440&lt;=360,"J+6",IF(D65*1440&lt;=480,"J+8","8以上"))))))</f>
        <v/>
      </c>
    </row>
    <row r="66" customFormat="false" ht="30" hidden="false" customHeight="true" outlineLevel="0" collapsed="false">
      <c r="A66" s="35"/>
      <c r="B66" s="36"/>
      <c r="C66" s="37"/>
      <c r="D66" s="38" t="str">
        <f aca="false">IF(OR(B66="",C66=""),"",ROUND((IF(C66&lt;1,INT(B66)+C66,C66)-B66)*1440,0)/1440)</f>
        <v/>
      </c>
      <c r="E66" s="39" t="str">
        <f aca="false">IF(D66="","",IF(D66&lt;0,"打日期",IF(D66*1440&lt;=120,"J+2",IF(D66*1440&lt;=240,"J+4",IF(D66*1440&lt;=360,"J+6",IF(D66*1440&lt;=480,"J+8","8以上"))))))</f>
        <v/>
      </c>
    </row>
    <row r="67" customFormat="false" ht="30" hidden="false" customHeight="true" outlineLevel="0" collapsed="false">
      <c r="A67" s="35"/>
      <c r="B67" s="36"/>
      <c r="C67" s="37"/>
      <c r="D67" s="38" t="str">
        <f aca="false">IF(OR(B67="",C67=""),"",ROUND((IF(C67&lt;1,INT(B67)+C67,C67)-B67)*1440,0)/1440)</f>
        <v/>
      </c>
      <c r="E67" s="39" t="str">
        <f aca="false">IF(D67="","",IF(D67&lt;0,"打日期",IF(D67*1440&lt;=120,"J+2",IF(D67*1440&lt;=240,"J+4",IF(D67*1440&lt;=360,"J+6",IF(D67*1440&lt;=480,"J+8","8以上"))))))</f>
        <v/>
      </c>
    </row>
    <row r="68" customFormat="false" ht="30" hidden="false" customHeight="true" outlineLevel="0" collapsed="false">
      <c r="A68" s="35"/>
      <c r="B68" s="36"/>
      <c r="C68" s="37"/>
      <c r="D68" s="38" t="str">
        <f aca="false">IF(OR(B68="",C68=""),"",ROUND((IF(C68&lt;1,INT(B68)+C68,C68)-B68)*1440,0)/1440)</f>
        <v/>
      </c>
      <c r="E68" s="39" t="str">
        <f aca="false">IF(D68="","",IF(D68&lt;0,"打日期",IF(D68*1440&lt;=120,"J+2",IF(D68*1440&lt;=240,"J+4",IF(D68*1440&lt;=360,"J+6",IF(D68*1440&lt;=480,"J+8","8以上"))))))</f>
        <v/>
      </c>
    </row>
    <row r="69" customFormat="false" ht="30" hidden="false" customHeight="true" outlineLevel="0" collapsed="false">
      <c r="A69" s="35"/>
      <c r="B69" s="36"/>
      <c r="C69" s="37"/>
      <c r="D69" s="38" t="str">
        <f aca="false">IF(OR(B69="",C69=""),"",ROUND((IF(C69&lt;1,INT(B69)+C69,C69)-B69)*1440,0)/1440)</f>
        <v/>
      </c>
      <c r="E69" s="39" t="str">
        <f aca="false">IF(D69="","",IF(D69&lt;0,"打日期",IF(D69*1440&lt;=120,"J+2",IF(D69*1440&lt;=240,"J+4",IF(D69*1440&lt;=360,"J+6",IF(D69*1440&lt;=480,"J+8","8以上"))))))</f>
        <v/>
      </c>
    </row>
    <row r="70" customFormat="false" ht="30" hidden="false" customHeight="true" outlineLevel="0" collapsed="false">
      <c r="A70" s="35"/>
      <c r="B70" s="36"/>
      <c r="C70" s="37"/>
      <c r="D70" s="38" t="str">
        <f aca="false">IF(OR(B70="",C70=""),"",ROUND((IF(C70&lt;1,INT(B70)+C70,C70)-B70)*1440,0)/1440)</f>
        <v/>
      </c>
      <c r="E70" s="39" t="str">
        <f aca="false">IF(D70="","",IF(D70&lt;0,"打日期",IF(D70*1440&lt;=120,"J+2",IF(D70*1440&lt;=240,"J+4",IF(D70*1440&lt;=360,"J+6",IF(D70*1440&lt;=480,"J+8","8以上"))))))</f>
        <v/>
      </c>
    </row>
    <row r="71" customFormat="false" ht="30" hidden="false" customHeight="true" outlineLevel="0" collapsed="false">
      <c r="A71" s="35"/>
      <c r="B71" s="36"/>
      <c r="C71" s="37"/>
      <c r="D71" s="38" t="str">
        <f aca="false">IF(OR(B71="",C71=""),"",ROUND((IF(C71&lt;1,INT(B71)+C71,C71)-B71)*1440,0)/1440)</f>
        <v/>
      </c>
      <c r="E71" s="39" t="str">
        <f aca="false">IF(D71="","",IF(D71&lt;0,"打日期",IF(D71*1440&lt;=120,"J+2",IF(D71*1440&lt;=240,"J+4",IF(D71*1440&lt;=360,"J+6",IF(D71*1440&lt;=480,"J+8","8以上"))))))</f>
        <v/>
      </c>
    </row>
    <row r="72" customFormat="false" ht="30" hidden="false" customHeight="true" outlineLevel="0" collapsed="false">
      <c r="A72" s="35"/>
      <c r="B72" s="36"/>
      <c r="C72" s="37"/>
      <c r="D72" s="38" t="str">
        <f aca="false">IF(OR(B72="",C72=""),"",ROUND((IF(C72&lt;1,INT(B72)+C72,C72)-B72)*1440,0)/1440)</f>
        <v/>
      </c>
      <c r="E72" s="39" t="str">
        <f aca="false">IF(D72="","",IF(D72&lt;0,"打日期",IF(D72*1440&lt;=120,"J+2",IF(D72*1440&lt;=240,"J+4",IF(D72*1440&lt;=360,"J+6",IF(D72*1440&lt;=480,"J+8","8以上"))))))</f>
        <v/>
      </c>
    </row>
    <row r="73" customFormat="false" ht="30" hidden="false" customHeight="true" outlineLevel="0" collapsed="false">
      <c r="A73" s="35"/>
      <c r="B73" s="36"/>
      <c r="C73" s="37"/>
      <c r="D73" s="38" t="str">
        <f aca="false">IF(OR(B73="",C73=""),"",ROUND((IF(C73&lt;1,INT(B73)+C73,C73)-B73)*1440,0)/1440)</f>
        <v/>
      </c>
      <c r="E73" s="39" t="str">
        <f aca="false">IF(D73="","",IF(D73&lt;0,"打日期",IF(D73*1440&lt;=120,"J+2",IF(D73*1440&lt;=240,"J+4",IF(D73*1440&lt;=360,"J+6",IF(D73*1440&lt;=480,"J+8","8以上"))))))</f>
        <v/>
      </c>
    </row>
    <row r="74" customFormat="false" ht="30" hidden="false" customHeight="true" outlineLevel="0" collapsed="false">
      <c r="A74" s="35"/>
      <c r="B74" s="36"/>
      <c r="C74" s="37"/>
      <c r="D74" s="38" t="str">
        <f aca="false">IF(OR(B74="",C74=""),"",ROUND((IF(C74&lt;1,INT(B74)+C74,C74)-B74)*1440,0)/1440)</f>
        <v/>
      </c>
      <c r="E74" s="39" t="str">
        <f aca="false">IF(D74="","",IF(D74&lt;0,"打日期",IF(D74*1440&lt;=120,"J+2",IF(D74*1440&lt;=240,"J+4",IF(D74*1440&lt;=360,"J+6",IF(D74*1440&lt;=480,"J+8","8以上"))))))</f>
        <v/>
      </c>
    </row>
    <row r="75" customFormat="false" ht="30" hidden="false" customHeight="true" outlineLevel="0" collapsed="false">
      <c r="A75" s="35"/>
      <c r="B75" s="36"/>
      <c r="C75" s="37"/>
      <c r="D75" s="38" t="str">
        <f aca="false">IF(OR(B75="",C75=""),"",ROUND((IF(C75&lt;1,INT(B75)+C75,C75)-B75)*1440,0)/1440)</f>
        <v/>
      </c>
      <c r="E75" s="39" t="str">
        <f aca="false">IF(D75="","",IF(D75&lt;0,"打日期",IF(D75*1440&lt;=120,"J+2",IF(D75*1440&lt;=240,"J+4",IF(D75*1440&lt;=360,"J+6",IF(D75*1440&lt;=480,"J+8","8以上"))))))</f>
        <v/>
      </c>
    </row>
    <row r="76" customFormat="false" ht="30" hidden="false" customHeight="true" outlineLevel="0" collapsed="false">
      <c r="A76" s="35"/>
      <c r="B76" s="36"/>
      <c r="C76" s="37"/>
      <c r="D76" s="38" t="str">
        <f aca="false">IF(OR(B76="",C76=""),"",ROUND((IF(C76&lt;1,INT(B76)+C76,C76)-B76)*1440,0)/1440)</f>
        <v/>
      </c>
      <c r="E76" s="39" t="str">
        <f aca="false">IF(D76="","",IF(D76&lt;0,"打日期",IF(D76*1440&lt;=120,"J+2",IF(D76*1440&lt;=240,"J+4",IF(D76*1440&lt;=360,"J+6",IF(D76*1440&lt;=480,"J+8","8以上"))))))</f>
        <v/>
      </c>
    </row>
    <row r="77" customFormat="false" ht="30" hidden="false" customHeight="true" outlineLevel="0" collapsed="false">
      <c r="A77" s="35"/>
      <c r="B77" s="36"/>
      <c r="C77" s="37"/>
      <c r="D77" s="38" t="str">
        <f aca="false">IF(OR(B77="",C77=""),"",ROUND((IF(C77&lt;1,INT(B77)+C77,C77)-B77)*1440,0)/1440)</f>
        <v/>
      </c>
      <c r="E77" s="39" t="str">
        <f aca="false">IF(D77="","",IF(D77&lt;0,"打日期",IF(D77*1440&lt;=120,"J+2",IF(D77*1440&lt;=240,"J+4",IF(D77*1440&lt;=360,"J+6",IF(D77*1440&lt;=480,"J+8","8以上"))))))</f>
        <v/>
      </c>
    </row>
    <row r="78" customFormat="false" ht="75" hidden="false" customHeight="true" outlineLevel="0" collapsed="false">
      <c r="A78" s="40" t="s">
        <v>38</v>
      </c>
      <c r="B78" s="40"/>
      <c r="C78" s="40"/>
      <c r="D78" s="40"/>
      <c r="E78" s="40"/>
    </row>
    <row r="80" customFormat="false" ht="21" hidden="false" customHeight="true" outlineLevel="0" collapsed="false">
      <c r="A80" s="41" t="s">
        <v>35</v>
      </c>
      <c r="C80" s="41" t="s">
        <v>28</v>
      </c>
    </row>
  </sheetData>
  <mergeCells count="8">
    <mergeCell ref="A1:E1"/>
    <mergeCell ref="A18:E18"/>
    <mergeCell ref="A21:E21"/>
    <mergeCell ref="A38:E38"/>
    <mergeCell ref="A41:E41"/>
    <mergeCell ref="A58:E58"/>
    <mergeCell ref="A61:E61"/>
    <mergeCell ref="A78:E78"/>
  </mergeCells>
  <printOptions headings="false" gridLines="false" gridLinesSet="true" horizontalCentered="true" verticalCentered="false"/>
  <pageMargins left="0.5" right="0.5" top="0.5" bottom="0.5" header="0.511811023622047" footer="0.511811023622047"/>
  <pageSetup paperSize="9" scale="9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3" manualBreakCount="3">
    <brk id="20" man="true" max="16383" min="0"/>
    <brk id="40" man="true" max="16383" min="0"/>
    <brk id="60" man="true" max="16383" min="0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true"/>
  </sheetPr>
  <dimension ref="A1:O1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F7" activeCellId="0" sqref="F7"/>
    </sheetView>
  </sheetViews>
  <sheetFormatPr defaultColWidth="8.87890625" defaultRowHeight="16.5" zeroHeight="false" outlineLevelRow="0" outlineLevelCol="0"/>
  <cols>
    <col collapsed="false" customWidth="true" hidden="false" outlineLevel="0" max="1" min="1" style="1" width="2.75"/>
    <col collapsed="false" customWidth="true" hidden="false" outlineLevel="0" max="2" min="2" style="1" width="21.5"/>
    <col collapsed="false" customWidth="true" hidden="false" outlineLevel="0" max="15" min="3" style="1" width="11"/>
    <col collapsed="false" customWidth="false" hidden="false" outlineLevel="0" max="16384" min="16" style="1" width="8.88"/>
  </cols>
  <sheetData>
    <row r="1" customFormat="false" ht="43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43.5" hidden="false" customHeight="true" outlineLevel="0" collapsed="false">
      <c r="A2" s="3"/>
      <c r="F2" s="4"/>
      <c r="G2" s="5" t="str">
        <f aca="false">'01'!G2</f>
        <v>115年</v>
      </c>
      <c r="H2" s="6" t="s">
        <v>40</v>
      </c>
      <c r="I2" s="4"/>
    </row>
    <row r="3" customFormat="false" ht="48.75" hidden="false" customHeight="true" outlineLevel="0" collapsed="false">
      <c r="A3" s="7" t="s">
        <v>3</v>
      </c>
      <c r="B3" s="7"/>
      <c r="C3" s="8" t="s">
        <v>4</v>
      </c>
      <c r="D3" s="9" t="s">
        <v>5</v>
      </c>
      <c r="E3" s="10" t="s">
        <v>6</v>
      </c>
      <c r="F3" s="9" t="s">
        <v>7</v>
      </c>
      <c r="G3" s="10" t="s">
        <v>8</v>
      </c>
      <c r="H3" s="9" t="s">
        <v>9</v>
      </c>
      <c r="I3" s="10" t="s">
        <v>10</v>
      </c>
      <c r="J3" s="9" t="s">
        <v>11</v>
      </c>
      <c r="K3" s="10" t="s">
        <v>12</v>
      </c>
      <c r="L3" s="9" t="s">
        <v>13</v>
      </c>
      <c r="M3" s="10" t="s">
        <v>14</v>
      </c>
      <c r="N3" s="11" t="s">
        <v>15</v>
      </c>
      <c r="O3" s="8" t="s">
        <v>16</v>
      </c>
    </row>
    <row r="4" customFormat="false" ht="50.25" hidden="false" customHeight="true" outlineLevel="0" collapsed="false">
      <c r="A4" s="12" t="s">
        <v>17</v>
      </c>
      <c r="B4" s="12"/>
      <c r="C4" s="13" t="n">
        <f aca="false">D4+F4+H4+J4+L4</f>
        <v>0</v>
      </c>
      <c r="D4" s="14" t="n">
        <f aca="false">COUNTIF(03子本!$E$3:$E$17,"J+2")</f>
        <v>0</v>
      </c>
      <c r="E4" s="15" t="str">
        <f aca="false">IF($C4=0,"",D4/$C4)</f>
        <v/>
      </c>
      <c r="F4" s="14" t="n">
        <f aca="false">COUNTIF(03子本!$E$3:$E$17,"J+4")</f>
        <v>0</v>
      </c>
      <c r="G4" s="15" t="str">
        <f aca="false">IF($C4=0,"",F4/$C4)</f>
        <v/>
      </c>
      <c r="H4" s="14" t="n">
        <f aca="false">COUNTIF(03子本!$E$3:$E$17,"J+6")</f>
        <v>0</v>
      </c>
      <c r="I4" s="15" t="str">
        <f aca="false">IF($C4=0,"",H4/$C4)</f>
        <v/>
      </c>
      <c r="J4" s="14" t="n">
        <f aca="false">COUNTIF(03子本!$E$3:$E$17,"J+8")</f>
        <v>0</v>
      </c>
      <c r="K4" s="15" t="str">
        <f aca="false">IF($C4=0,"",J4/$C4)</f>
        <v/>
      </c>
      <c r="L4" s="14" t="n">
        <f aca="false">COUNTIF(03子本!$E$3:$E$17,"8以上")</f>
        <v>0</v>
      </c>
      <c r="M4" s="15" t="str">
        <f aca="false">IF($C4=0,"",L4/$C4)</f>
        <v/>
      </c>
      <c r="N4" s="16" t="n">
        <v>1</v>
      </c>
      <c r="O4" s="17" t="str">
        <f aca="false">IF($C4=0,"",(D4*2+F4*4+H4*6+J4*8+L4*8)/$C4)</f>
        <v/>
      </c>
    </row>
    <row r="5" customFormat="false" ht="50.25" hidden="false" customHeight="true" outlineLevel="0" collapsed="false">
      <c r="A5" s="12" t="s">
        <v>18</v>
      </c>
      <c r="B5" s="12"/>
      <c r="C5" s="13" t="n">
        <f aca="false">D5+F5+H5+J5+L5</f>
        <v>0</v>
      </c>
      <c r="D5" s="14" t="n">
        <f aca="false">COUNTIF(03子本!$E$23:$E$37,"J+2")</f>
        <v>0</v>
      </c>
      <c r="E5" s="15" t="str">
        <f aca="false">IF($C5=0,"",D5/$C5)</f>
        <v/>
      </c>
      <c r="F5" s="14" t="n">
        <f aca="false">COUNTIF(03子本!$E$23:$E$37,"J+4")</f>
        <v>0</v>
      </c>
      <c r="G5" s="15" t="str">
        <f aca="false">IF($C5=0,"",F5/$C5)</f>
        <v/>
      </c>
      <c r="H5" s="14" t="n">
        <f aca="false">COUNTIF(03子本!$E$23:$E$37,"J+6")</f>
        <v>0</v>
      </c>
      <c r="I5" s="15" t="str">
        <f aca="false">IF($C5=0,"",H5/$C5)</f>
        <v/>
      </c>
      <c r="J5" s="14" t="n">
        <f aca="false">COUNTIF(03子本!$E$23:$E$37,"J+8")</f>
        <v>0</v>
      </c>
      <c r="K5" s="15" t="str">
        <f aca="false">IF($C5=0,"",J5/$C5)</f>
        <v/>
      </c>
      <c r="L5" s="14" t="n">
        <f aca="false">COUNTIF(03子本!$E$23:$E$37,"8以上")</f>
        <v>0</v>
      </c>
      <c r="M5" s="15" t="str">
        <f aca="false">IF($C5=0,"",L5/$C5)</f>
        <v/>
      </c>
      <c r="N5" s="16" t="n">
        <v>1</v>
      </c>
      <c r="O5" s="17" t="str">
        <f aca="false">IF($C5=0,"",(D5*2+F5*4+H5*6+J5*8+L5*8)/$C5)</f>
        <v/>
      </c>
    </row>
    <row r="6" customFormat="false" ht="54.75" hidden="false" customHeight="true" outlineLevel="0" collapsed="false">
      <c r="A6" s="18" t="s">
        <v>19</v>
      </c>
      <c r="B6" s="18"/>
      <c r="C6" s="13" t="n">
        <f aca="false">D6+F6+H6+J6+L6</f>
        <v>0</v>
      </c>
      <c r="D6" s="14" t="n">
        <f aca="false">COUNTIF(03子本!$E$43:$E$57,"J+2")</f>
        <v>0</v>
      </c>
      <c r="E6" s="15" t="str">
        <f aca="false">IF($C6=0,"",D6/$C6)</f>
        <v/>
      </c>
      <c r="F6" s="14" t="n">
        <f aca="false">COUNTIF(03子本!$E$43:$E$57,"J+4")</f>
        <v>0</v>
      </c>
      <c r="G6" s="15" t="str">
        <f aca="false">IF($C6=0,"",F6/$C6)</f>
        <v/>
      </c>
      <c r="H6" s="14" t="n">
        <f aca="false">COUNTIF(03子本!$E$43:$E$57,"J+6")</f>
        <v>0</v>
      </c>
      <c r="I6" s="15" t="str">
        <f aca="false">IF($C6=0,"",H6/$C6)</f>
        <v/>
      </c>
      <c r="J6" s="14" t="n">
        <f aca="false">COUNTIF(03子本!$E$43:$E$57,"J+8")</f>
        <v>0</v>
      </c>
      <c r="K6" s="15" t="str">
        <f aca="false">IF($C6=0,"",J6/$C6)</f>
        <v/>
      </c>
      <c r="L6" s="14" t="n">
        <f aca="false">COUNTIF(03子本!$E$43:$E$57,"8以上")</f>
        <v>0</v>
      </c>
      <c r="M6" s="15" t="str">
        <f aca="false">IF($C6=0,"",L6/$C6)</f>
        <v/>
      </c>
      <c r="N6" s="16" t="n">
        <v>1</v>
      </c>
      <c r="O6" s="17" t="str">
        <f aca="false">IF($C6=0,"",(D6*2+F6*4+H6*6+J6*8+L6*8)/$C6)</f>
        <v/>
      </c>
    </row>
    <row r="7" customFormat="false" ht="50.25" hidden="false" customHeight="true" outlineLevel="0" collapsed="false">
      <c r="A7" s="19" t="s">
        <v>20</v>
      </c>
      <c r="B7" s="19"/>
      <c r="C7" s="13" t="n">
        <f aca="false">D7+F7+H7+J7+L7</f>
        <v>0</v>
      </c>
      <c r="D7" s="14" t="n">
        <f aca="false">COUNTIF(03子本!$E$63:$E$77,"J+2")</f>
        <v>0</v>
      </c>
      <c r="E7" s="15" t="str">
        <f aca="false">IF($C7=0,"",D7/$C7)</f>
        <v/>
      </c>
      <c r="F7" s="14" t="n">
        <f aca="false">COUNTIF(03子本!$E$63:$E$77,"J+4")</f>
        <v>0</v>
      </c>
      <c r="G7" s="15" t="str">
        <f aca="false">IF($C7=0,"",F7/$C7)</f>
        <v/>
      </c>
      <c r="H7" s="14" t="n">
        <f aca="false">COUNTIF(03子本!$E$63:$E$77,"J+6")</f>
        <v>0</v>
      </c>
      <c r="I7" s="15" t="str">
        <f aca="false">IF($C7=0,"",H7/$C7)</f>
        <v/>
      </c>
      <c r="J7" s="14" t="n">
        <f aca="false">COUNTIF(03子本!$E$63:$E$77,"J+8")</f>
        <v>0</v>
      </c>
      <c r="K7" s="15" t="str">
        <f aca="false">IF($C7=0,"",J7/$C7)</f>
        <v/>
      </c>
      <c r="L7" s="14" t="n">
        <f aca="false">COUNTIF(03子本!$E$63:$E$77,"8以上")</f>
        <v>0</v>
      </c>
      <c r="M7" s="15" t="str">
        <f aca="false">IF($C7=0,"",L7/$C7)</f>
        <v/>
      </c>
      <c r="N7" s="20" t="n">
        <v>1</v>
      </c>
      <c r="O7" s="17" t="str">
        <f aca="false">IF($C7=0,"",(D7*2+F7*4+H7*6+J7*8+L7*8)/$C7)</f>
        <v/>
      </c>
    </row>
    <row r="8" customFormat="false" ht="21" hidden="false" customHeight="true" outlineLevel="0" collapsed="false">
      <c r="A8" s="21" t="s">
        <v>21</v>
      </c>
      <c r="B8" s="21"/>
      <c r="C8" s="22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</row>
    <row r="9" customFormat="false" ht="60.75" hidden="false" customHeight="true" outlineLevel="0" collapsed="false">
      <c r="A9" s="24" t="n">
        <v>1</v>
      </c>
      <c r="B9" s="25" t="s">
        <v>22</v>
      </c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</row>
    <row r="10" customFormat="false" ht="21" hidden="false" customHeight="true" outlineLevel="0" collapsed="false">
      <c r="A10" s="24" t="n">
        <v>2</v>
      </c>
      <c r="B10" s="26" t="s">
        <v>23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</row>
    <row r="11" customFormat="false" ht="39" hidden="false" customHeight="true" outlineLevel="0" collapsed="false">
      <c r="A11" s="24" t="n">
        <v>3</v>
      </c>
      <c r="B11" s="25" t="s">
        <v>24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customFormat="false" ht="39.75" hidden="false" customHeight="true" outlineLevel="0" collapsed="false">
      <c r="A12" s="24" t="n">
        <v>4</v>
      </c>
      <c r="B12" s="25" t="s">
        <v>25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</row>
    <row r="13" customFormat="false" ht="40.5" hidden="false" customHeight="true" outlineLevel="0" collapsed="false">
      <c r="A13" s="24" t="n">
        <v>5</v>
      </c>
      <c r="B13" s="25" t="s">
        <v>26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</row>
    <row r="14" customFormat="false" ht="21" hidden="false" customHeight="true" outlineLevel="0" collapsed="false">
      <c r="B14" s="27" t="s">
        <v>27</v>
      </c>
      <c r="C14" s="27"/>
      <c r="D14" s="28"/>
      <c r="E14" s="28"/>
      <c r="F14" s="29" t="s">
        <v>28</v>
      </c>
      <c r="G14" s="29"/>
      <c r="H14" s="30"/>
      <c r="I14" s="30"/>
      <c r="J14" s="31"/>
      <c r="K14" s="31"/>
      <c r="O14" s="28"/>
    </row>
  </sheetData>
  <mergeCells count="12">
    <mergeCell ref="A1:M1"/>
    <mergeCell ref="A3:B3"/>
    <mergeCell ref="A4:B4"/>
    <mergeCell ref="A5:B5"/>
    <mergeCell ref="A6:B6"/>
    <mergeCell ref="A7:B7"/>
    <mergeCell ref="A8:B8"/>
    <mergeCell ref="B9:O9"/>
    <mergeCell ref="B10:O10"/>
    <mergeCell ref="B11:O11"/>
    <mergeCell ref="B12:O12"/>
    <mergeCell ref="B13:O13"/>
  </mergeCells>
  <printOptions headings="false" gridLines="false" gridLinesSet="true" horizontalCentered="true" verticalCentered="true"/>
  <pageMargins left="0.157638888888889" right="0.551388888888889" top="0.196527777777778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E5CC"/>
    <pageSetUpPr fitToPage="false"/>
  </sheetPr>
  <dimension ref="A1:E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" defaultRowHeight="21" zeroHeight="false" outlineLevelRow="0" outlineLevelCol="0"/>
  <cols>
    <col collapsed="false" customWidth="true" hidden="false" outlineLevel="0" max="1" min="1" style="32" width="34.63"/>
    <col collapsed="false" customWidth="true" hidden="false" outlineLevel="0" max="3" min="2" style="32" width="17.63"/>
    <col collapsed="false" customWidth="true" hidden="false" outlineLevel="0" max="5" min="4" style="32" width="9.63"/>
    <col collapsed="false" customWidth="false" hidden="false" outlineLevel="0" max="16384" min="6" style="32" width="9"/>
  </cols>
  <sheetData>
    <row r="1" customFormat="false" ht="39.75" hidden="false" customHeight="true" outlineLevel="0" collapsed="false">
      <c r="A1" s="33" t="str">
        <f aca="false">"中和郵務股"&amp;'03'!$G$2&amp;'03'!$H$2&amp;"份 本口 快捷郵遞時效表"</f>
        <v>中和郵務股115年3月份 本口 快捷郵遞時效表</v>
      </c>
      <c r="B1" s="33"/>
      <c r="C1" s="33"/>
      <c r="D1" s="33"/>
      <c r="E1" s="33"/>
    </row>
    <row r="2" customFormat="false" ht="30" hidden="false" customHeight="true" outlineLevel="0" collapsed="false">
      <c r="A2" s="34" t="s">
        <v>29</v>
      </c>
      <c r="B2" s="34" t="s">
        <v>30</v>
      </c>
      <c r="C2" s="34" t="s">
        <v>31</v>
      </c>
      <c r="D2" s="34" t="s">
        <v>32</v>
      </c>
      <c r="E2" s="34" t="s">
        <v>33</v>
      </c>
    </row>
    <row r="3" customFormat="false" ht="30" hidden="false" customHeight="true" outlineLevel="0" collapsed="false">
      <c r="A3" s="35"/>
      <c r="B3" s="36"/>
      <c r="C3" s="37"/>
      <c r="D3" s="38" t="str">
        <f aca="false">IF(OR(B3="",C3=""),"",ROUND((IF(C3&lt;1,INT(B3)+C3,C3)-B3)*1440,0)/1440)</f>
        <v/>
      </c>
      <c r="E3" s="39" t="str">
        <f aca="false">IF(D3="","",IF(D3&lt;0,"打日期",IF(D3*1440&lt;=120,"J+2",IF(D3*1440&lt;=240,"J+4",IF(D3*1440&lt;=360,"J+6",IF(D3*1440&lt;=480,"J+8","8以上"))))))</f>
        <v/>
      </c>
    </row>
    <row r="4" customFormat="false" ht="30" hidden="false" customHeight="true" outlineLevel="0" collapsed="false">
      <c r="A4" s="35"/>
      <c r="B4" s="36"/>
      <c r="C4" s="37"/>
      <c r="D4" s="38" t="str">
        <f aca="false">IF(OR(B4="",C4=""),"",ROUND((IF(C4&lt;1,INT(B4)+C4,C4)-B4)*1440,0)/1440)</f>
        <v/>
      </c>
      <c r="E4" s="39" t="str">
        <f aca="false">IF(D4="","",IF(D4&lt;0,"打日期",IF(D4*1440&lt;=120,"J+2",IF(D4*1440&lt;=240,"J+4",IF(D4*1440&lt;=360,"J+6",IF(D4*1440&lt;=480,"J+8","8以上"))))))</f>
        <v/>
      </c>
    </row>
    <row r="5" customFormat="false" ht="30" hidden="false" customHeight="true" outlineLevel="0" collapsed="false">
      <c r="A5" s="35"/>
      <c r="B5" s="36"/>
      <c r="C5" s="37"/>
      <c r="D5" s="38" t="str">
        <f aca="false">IF(OR(B5="",C5=""),"",ROUND((IF(C5&lt;1,INT(B5)+C5,C5)-B5)*1440,0)/1440)</f>
        <v/>
      </c>
      <c r="E5" s="39" t="str">
        <f aca="false">IF(D5="","",IF(D5&lt;0,"打日期",IF(D5*1440&lt;=120,"J+2",IF(D5*1440&lt;=240,"J+4",IF(D5*1440&lt;=360,"J+6",IF(D5*1440&lt;=480,"J+8","8以上"))))))</f>
        <v/>
      </c>
    </row>
    <row r="6" customFormat="false" ht="30" hidden="false" customHeight="true" outlineLevel="0" collapsed="false">
      <c r="A6" s="35"/>
      <c r="B6" s="36"/>
      <c r="C6" s="37"/>
      <c r="D6" s="38" t="str">
        <f aca="false">IF(OR(B6="",C6=""),"",ROUND((IF(C6&lt;1,INT(B6)+C6,C6)-B6)*1440,0)/1440)</f>
        <v/>
      </c>
      <c r="E6" s="39" t="str">
        <f aca="false">IF(D6="","",IF(D6&lt;0,"打日期",IF(D6*1440&lt;=120,"J+2",IF(D6*1440&lt;=240,"J+4",IF(D6*1440&lt;=360,"J+6",IF(D6*1440&lt;=480,"J+8","8以上"))))))</f>
        <v/>
      </c>
    </row>
    <row r="7" customFormat="false" ht="30" hidden="false" customHeight="true" outlineLevel="0" collapsed="false">
      <c r="A7" s="35"/>
      <c r="B7" s="36"/>
      <c r="C7" s="37"/>
      <c r="D7" s="38" t="str">
        <f aca="false">IF(OR(B7="",C7=""),"",ROUND((IF(C7&lt;1,INT(B7)+C7,C7)-B7)*1440,0)/1440)</f>
        <v/>
      </c>
      <c r="E7" s="39" t="str">
        <f aca="false">IF(D7="","",IF(D7&lt;0,"打日期",IF(D7*1440&lt;=120,"J+2",IF(D7*1440&lt;=240,"J+4",IF(D7*1440&lt;=360,"J+6",IF(D7*1440&lt;=480,"J+8","8以上"))))))</f>
        <v/>
      </c>
    </row>
    <row r="8" customFormat="false" ht="30" hidden="false" customHeight="true" outlineLevel="0" collapsed="false">
      <c r="A8" s="35"/>
      <c r="B8" s="36"/>
      <c r="C8" s="37"/>
      <c r="D8" s="38" t="str">
        <f aca="false">IF(OR(B8="",C8=""),"",ROUND((IF(C8&lt;1,INT(B8)+C8,C8)-B8)*1440,0)/1440)</f>
        <v/>
      </c>
      <c r="E8" s="39" t="str">
        <f aca="false">IF(D8="","",IF(D8&lt;0,"打日期",IF(D8*1440&lt;=120,"J+2",IF(D8*1440&lt;=240,"J+4",IF(D8*1440&lt;=360,"J+6",IF(D8*1440&lt;=480,"J+8","8以上"))))))</f>
        <v/>
      </c>
    </row>
    <row r="9" customFormat="false" ht="30" hidden="false" customHeight="true" outlineLevel="0" collapsed="false">
      <c r="A9" s="35"/>
      <c r="B9" s="36"/>
      <c r="C9" s="37"/>
      <c r="D9" s="38" t="str">
        <f aca="false">IF(OR(B9="",C9=""),"",ROUND((IF(C9&lt;1,INT(B9)+C9,C9)-B9)*1440,0)/1440)</f>
        <v/>
      </c>
      <c r="E9" s="39" t="str">
        <f aca="false">IF(D9="","",IF(D9&lt;0,"打日期",IF(D9*1440&lt;=120,"J+2",IF(D9*1440&lt;=240,"J+4",IF(D9*1440&lt;=360,"J+6",IF(D9*1440&lt;=480,"J+8","8以上"))))))</f>
        <v/>
      </c>
    </row>
    <row r="10" customFormat="false" ht="30" hidden="false" customHeight="true" outlineLevel="0" collapsed="false">
      <c r="A10" s="35"/>
      <c r="B10" s="36"/>
      <c r="C10" s="37"/>
      <c r="D10" s="38" t="str">
        <f aca="false">IF(OR(B10="",C10=""),"",ROUND((IF(C10&lt;1,INT(B10)+C10,C10)-B10)*1440,0)/1440)</f>
        <v/>
      </c>
      <c r="E10" s="39" t="str">
        <f aca="false">IF(D10="","",IF(D10&lt;0,"打日期",IF(D10*1440&lt;=120,"J+2",IF(D10*1440&lt;=240,"J+4",IF(D10*1440&lt;=360,"J+6",IF(D10*1440&lt;=480,"J+8","8以上"))))))</f>
        <v/>
      </c>
    </row>
    <row r="11" customFormat="false" ht="30" hidden="false" customHeight="true" outlineLevel="0" collapsed="false">
      <c r="A11" s="35"/>
      <c r="B11" s="36"/>
      <c r="C11" s="37"/>
      <c r="D11" s="38" t="str">
        <f aca="false">IF(OR(B11="",C11=""),"",ROUND((IF(C11&lt;1,INT(B11)+C11,C11)-B11)*1440,0)/1440)</f>
        <v/>
      </c>
      <c r="E11" s="39" t="str">
        <f aca="false">IF(D11="","",IF(D11&lt;0,"打日期",IF(D11*1440&lt;=120,"J+2",IF(D11*1440&lt;=240,"J+4",IF(D11*1440&lt;=360,"J+6",IF(D11*1440&lt;=480,"J+8","8以上"))))))</f>
        <v/>
      </c>
    </row>
    <row r="12" customFormat="false" ht="30" hidden="false" customHeight="true" outlineLevel="0" collapsed="false">
      <c r="A12" s="35"/>
      <c r="B12" s="36"/>
      <c r="C12" s="37"/>
      <c r="D12" s="38" t="str">
        <f aca="false">IF(OR(B12="",C12=""),"",ROUND((IF(C12&lt;1,INT(B12)+C12,C12)-B12)*1440,0)/1440)</f>
        <v/>
      </c>
      <c r="E12" s="39" t="str">
        <f aca="false">IF(D12="","",IF(D12&lt;0,"打日期",IF(D12*1440&lt;=120,"J+2",IF(D12*1440&lt;=240,"J+4",IF(D12*1440&lt;=360,"J+6",IF(D12*1440&lt;=480,"J+8","8以上"))))))</f>
        <v/>
      </c>
    </row>
    <row r="13" customFormat="false" ht="30" hidden="false" customHeight="true" outlineLevel="0" collapsed="false">
      <c r="A13" s="35"/>
      <c r="B13" s="36"/>
      <c r="C13" s="37"/>
      <c r="D13" s="38" t="str">
        <f aca="false">IF(OR(B13="",C13=""),"",ROUND((IF(C13&lt;1,INT(B13)+C13,C13)-B13)*1440,0)/1440)</f>
        <v/>
      </c>
      <c r="E13" s="39" t="str">
        <f aca="false">IF(D13="","",IF(D13&lt;0,"打日期",IF(D13*1440&lt;=120,"J+2",IF(D13*1440&lt;=240,"J+4",IF(D13*1440&lt;=360,"J+6",IF(D13*1440&lt;=480,"J+8","8以上"))))))</f>
        <v/>
      </c>
    </row>
    <row r="14" customFormat="false" ht="30" hidden="false" customHeight="true" outlineLevel="0" collapsed="false">
      <c r="A14" s="35"/>
      <c r="B14" s="36"/>
      <c r="C14" s="37"/>
      <c r="D14" s="38" t="str">
        <f aca="false">IF(OR(B14="",C14=""),"",ROUND((IF(C14&lt;1,INT(B14)+C14,C14)-B14)*1440,0)/1440)</f>
        <v/>
      </c>
      <c r="E14" s="39" t="str">
        <f aca="false">IF(D14="","",IF(D14&lt;0,"打日期",IF(D14*1440&lt;=120,"J+2",IF(D14*1440&lt;=240,"J+4",IF(D14*1440&lt;=360,"J+6",IF(D14*1440&lt;=480,"J+8","8以上"))))))</f>
        <v/>
      </c>
    </row>
    <row r="15" customFormat="false" ht="30" hidden="false" customHeight="true" outlineLevel="0" collapsed="false">
      <c r="A15" s="35"/>
      <c r="B15" s="36"/>
      <c r="C15" s="37"/>
      <c r="D15" s="38" t="str">
        <f aca="false">IF(OR(B15="",C15=""),"",ROUND((IF(C15&lt;1,INT(B15)+C15,C15)-B15)*1440,0)/1440)</f>
        <v/>
      </c>
      <c r="E15" s="39" t="str">
        <f aca="false">IF(D15="","",IF(D15&lt;0,"打日期",IF(D15*1440&lt;=120,"J+2",IF(D15*1440&lt;=240,"J+4",IF(D15*1440&lt;=360,"J+6",IF(D15*1440&lt;=480,"J+8","8以上"))))))</f>
        <v/>
      </c>
    </row>
    <row r="16" customFormat="false" ht="30" hidden="false" customHeight="true" outlineLevel="0" collapsed="false">
      <c r="A16" s="35"/>
      <c r="B16" s="36"/>
      <c r="C16" s="37"/>
      <c r="D16" s="38" t="str">
        <f aca="false">IF(OR(B16="",C16=""),"",ROUND((IF(C16&lt;1,INT(B16)+C16,C16)-B16)*1440,0)/1440)</f>
        <v/>
      </c>
      <c r="E16" s="39" t="str">
        <f aca="false">IF(D16="","",IF(D16&lt;0,"打日期",IF(D16*1440&lt;=120,"J+2",IF(D16*1440&lt;=240,"J+4",IF(D16*1440&lt;=360,"J+6",IF(D16*1440&lt;=480,"J+8","8以上"))))))</f>
        <v/>
      </c>
    </row>
    <row r="17" customFormat="false" ht="30" hidden="false" customHeight="true" outlineLevel="0" collapsed="false">
      <c r="A17" s="35"/>
      <c r="B17" s="36"/>
      <c r="C17" s="37"/>
      <c r="D17" s="38" t="str">
        <f aca="false">IF(OR(B17="",C17=""),"",ROUND((IF(C17&lt;1,INT(B17)+C17,C17)-B17)*1440,0)/1440)</f>
        <v/>
      </c>
      <c r="E17" s="39" t="str">
        <f aca="false">IF(D17="","",IF(D17&lt;0,"打日期",IF(D17*1440&lt;=120,"J+2",IF(D17*1440&lt;=240,"J+4",IF(D17*1440&lt;=360,"J+6",IF(D17*1440&lt;=480,"J+8","8以上"))))))</f>
        <v/>
      </c>
    </row>
    <row r="18" customFormat="false" ht="75" hidden="false" customHeight="true" outlineLevel="0" collapsed="false">
      <c r="A18" s="40" t="s">
        <v>34</v>
      </c>
      <c r="B18" s="40"/>
      <c r="C18" s="40"/>
      <c r="D18" s="40"/>
      <c r="E18" s="40"/>
    </row>
    <row r="20" customFormat="false" ht="21" hidden="false" customHeight="true" outlineLevel="0" collapsed="false">
      <c r="A20" s="41" t="s">
        <v>35</v>
      </c>
      <c r="C20" s="41" t="s">
        <v>28</v>
      </c>
    </row>
    <row r="21" customFormat="false" ht="39.75" hidden="false" customHeight="true" outlineLevel="0" collapsed="false">
      <c r="A21" s="33" t="str">
        <f aca="false">"中和郵務股"&amp;'03'!$G$2&amp;'03'!$H$2&amp;"份 十大都會區 快捷郵遞時效表"</f>
        <v>中和郵務股115年3月份 十大都會區 快捷郵遞時效表</v>
      </c>
      <c r="B21" s="33"/>
      <c r="C21" s="33"/>
      <c r="D21" s="33"/>
      <c r="E21" s="33"/>
    </row>
    <row r="22" customFormat="false" ht="30" hidden="false" customHeight="true" outlineLevel="0" collapsed="false">
      <c r="A22" s="34" t="s">
        <v>29</v>
      </c>
      <c r="B22" s="34" t="s">
        <v>30</v>
      </c>
      <c r="C22" s="34" t="s">
        <v>31</v>
      </c>
      <c r="D22" s="34" t="s">
        <v>32</v>
      </c>
      <c r="E22" s="34" t="s">
        <v>33</v>
      </c>
    </row>
    <row r="23" customFormat="false" ht="30" hidden="false" customHeight="true" outlineLevel="0" collapsed="false">
      <c r="A23" s="35"/>
      <c r="B23" s="36"/>
      <c r="C23" s="37"/>
      <c r="D23" s="38" t="str">
        <f aca="false">IF(OR(B23="",C23=""),"",ROUND((IF(C23&lt;1,INT(B23)+C23,C23)-B23)*1440,0)/1440)</f>
        <v/>
      </c>
      <c r="E23" s="39" t="str">
        <f aca="false">IF(D23="","",IF(D23&lt;0,"打日期",IF(D23*1440&lt;=120,"J+2",IF(D23*1440&lt;=240,"J+4",IF(D23*1440&lt;=360,"J+6",IF(D23*1440&lt;=480,"J+8","8以上"))))))</f>
        <v/>
      </c>
    </row>
    <row r="24" customFormat="false" ht="30" hidden="false" customHeight="true" outlineLevel="0" collapsed="false">
      <c r="A24" s="35"/>
      <c r="B24" s="36"/>
      <c r="C24" s="37"/>
      <c r="D24" s="38" t="str">
        <f aca="false">IF(OR(B24="",C24=""),"",ROUND((IF(C24&lt;1,INT(B24)+C24,C24)-B24)*1440,0)/1440)</f>
        <v/>
      </c>
      <c r="E24" s="39" t="str">
        <f aca="false">IF(D24="","",IF(D24&lt;0,"打日期",IF(D24*1440&lt;=120,"J+2",IF(D24*1440&lt;=240,"J+4",IF(D24*1440&lt;=360,"J+6",IF(D24*1440&lt;=480,"J+8","8以上"))))))</f>
        <v/>
      </c>
    </row>
    <row r="25" customFormat="false" ht="30" hidden="false" customHeight="true" outlineLevel="0" collapsed="false">
      <c r="A25" s="35"/>
      <c r="B25" s="36"/>
      <c r="C25" s="37"/>
      <c r="D25" s="38" t="str">
        <f aca="false">IF(OR(B25="",C25=""),"",ROUND((IF(C25&lt;1,INT(B25)+C25,C25)-B25)*1440,0)/1440)</f>
        <v/>
      </c>
      <c r="E25" s="39" t="str">
        <f aca="false">IF(D25="","",IF(D25&lt;0,"打日期",IF(D25*1440&lt;=120,"J+2",IF(D25*1440&lt;=240,"J+4",IF(D25*1440&lt;=360,"J+6",IF(D25*1440&lt;=480,"J+8","8以上"))))))</f>
        <v/>
      </c>
    </row>
    <row r="26" customFormat="false" ht="30" hidden="false" customHeight="true" outlineLevel="0" collapsed="false">
      <c r="A26" s="35"/>
      <c r="B26" s="36"/>
      <c r="C26" s="37"/>
      <c r="D26" s="38" t="str">
        <f aca="false">IF(OR(B26="",C26=""),"",ROUND((IF(C26&lt;1,INT(B26)+C26,C26)-B26)*1440,0)/1440)</f>
        <v/>
      </c>
      <c r="E26" s="39" t="str">
        <f aca="false">IF(D26="","",IF(D26&lt;0,"打日期",IF(D26*1440&lt;=120,"J+2",IF(D26*1440&lt;=240,"J+4",IF(D26*1440&lt;=360,"J+6",IF(D26*1440&lt;=480,"J+8","8以上"))))))</f>
        <v/>
      </c>
    </row>
    <row r="27" customFormat="false" ht="30" hidden="false" customHeight="true" outlineLevel="0" collapsed="false">
      <c r="A27" s="35"/>
      <c r="B27" s="36"/>
      <c r="C27" s="37"/>
      <c r="D27" s="38" t="str">
        <f aca="false">IF(OR(B27="",C27=""),"",ROUND((IF(C27&lt;1,INT(B27)+C27,C27)-B27)*1440,0)/1440)</f>
        <v/>
      </c>
      <c r="E27" s="39" t="str">
        <f aca="false">IF(D27="","",IF(D27&lt;0,"打日期",IF(D27*1440&lt;=120,"J+2",IF(D27*1440&lt;=240,"J+4",IF(D27*1440&lt;=360,"J+6",IF(D27*1440&lt;=480,"J+8","8以上"))))))</f>
        <v/>
      </c>
    </row>
    <row r="28" customFormat="false" ht="30" hidden="false" customHeight="true" outlineLevel="0" collapsed="false">
      <c r="A28" s="35"/>
      <c r="B28" s="36"/>
      <c r="C28" s="37"/>
      <c r="D28" s="38" t="str">
        <f aca="false">IF(OR(B28="",C28=""),"",ROUND((IF(C28&lt;1,INT(B28)+C28,C28)-B28)*1440,0)/1440)</f>
        <v/>
      </c>
      <c r="E28" s="39" t="str">
        <f aca="false">IF(D28="","",IF(D28&lt;0,"打日期",IF(D28*1440&lt;=120,"J+2",IF(D28*1440&lt;=240,"J+4",IF(D28*1440&lt;=360,"J+6",IF(D28*1440&lt;=480,"J+8","8以上"))))))</f>
        <v/>
      </c>
    </row>
    <row r="29" customFormat="false" ht="30" hidden="false" customHeight="true" outlineLevel="0" collapsed="false">
      <c r="A29" s="35"/>
      <c r="B29" s="36"/>
      <c r="C29" s="37"/>
      <c r="D29" s="38" t="str">
        <f aca="false">IF(OR(B29="",C29=""),"",ROUND((IF(C29&lt;1,INT(B29)+C29,C29)-B29)*1440,0)/1440)</f>
        <v/>
      </c>
      <c r="E29" s="39" t="str">
        <f aca="false">IF(D29="","",IF(D29&lt;0,"打日期",IF(D29*1440&lt;=120,"J+2",IF(D29*1440&lt;=240,"J+4",IF(D29*1440&lt;=360,"J+6",IF(D29*1440&lt;=480,"J+8","8以上"))))))</f>
        <v/>
      </c>
    </row>
    <row r="30" customFormat="false" ht="30" hidden="false" customHeight="true" outlineLevel="0" collapsed="false">
      <c r="A30" s="35"/>
      <c r="B30" s="36"/>
      <c r="C30" s="37"/>
      <c r="D30" s="38" t="str">
        <f aca="false">IF(OR(B30="",C30=""),"",ROUND((IF(C30&lt;1,INT(B30)+C30,C30)-B30)*1440,0)/1440)</f>
        <v/>
      </c>
      <c r="E30" s="39" t="str">
        <f aca="false">IF(D30="","",IF(D30&lt;0,"打日期",IF(D30*1440&lt;=120,"J+2",IF(D30*1440&lt;=240,"J+4",IF(D30*1440&lt;=360,"J+6",IF(D30*1440&lt;=480,"J+8","8以上"))))))</f>
        <v/>
      </c>
    </row>
    <row r="31" customFormat="false" ht="30" hidden="false" customHeight="true" outlineLevel="0" collapsed="false">
      <c r="A31" s="35"/>
      <c r="B31" s="36"/>
      <c r="C31" s="37"/>
      <c r="D31" s="38" t="str">
        <f aca="false">IF(OR(B31="",C31=""),"",ROUND((IF(C31&lt;1,INT(B31)+C31,C31)-B31)*1440,0)/1440)</f>
        <v/>
      </c>
      <c r="E31" s="39" t="str">
        <f aca="false">IF(D31="","",IF(D31&lt;0,"打日期",IF(D31*1440&lt;=120,"J+2",IF(D31*1440&lt;=240,"J+4",IF(D31*1440&lt;=360,"J+6",IF(D31*1440&lt;=480,"J+8","8以上"))))))</f>
        <v/>
      </c>
    </row>
    <row r="32" customFormat="false" ht="30" hidden="false" customHeight="true" outlineLevel="0" collapsed="false">
      <c r="A32" s="35"/>
      <c r="B32" s="36"/>
      <c r="C32" s="37"/>
      <c r="D32" s="38" t="str">
        <f aca="false">IF(OR(B32="",C32=""),"",ROUND((IF(C32&lt;1,INT(B32)+C32,C32)-B32)*1440,0)/1440)</f>
        <v/>
      </c>
      <c r="E32" s="39" t="str">
        <f aca="false">IF(D32="","",IF(D32&lt;0,"打日期",IF(D32*1440&lt;=120,"J+2",IF(D32*1440&lt;=240,"J+4",IF(D32*1440&lt;=360,"J+6",IF(D32*1440&lt;=480,"J+8","8以上"))))))</f>
        <v/>
      </c>
    </row>
    <row r="33" customFormat="false" ht="30" hidden="false" customHeight="true" outlineLevel="0" collapsed="false">
      <c r="A33" s="35"/>
      <c r="B33" s="36"/>
      <c r="C33" s="37"/>
      <c r="D33" s="38" t="str">
        <f aca="false">IF(OR(B33="",C33=""),"",ROUND((IF(C33&lt;1,INT(B33)+C33,C33)-B33)*1440,0)/1440)</f>
        <v/>
      </c>
      <c r="E33" s="39" t="str">
        <f aca="false">IF(D33="","",IF(D33&lt;0,"打日期",IF(D33*1440&lt;=120,"J+2",IF(D33*1440&lt;=240,"J+4",IF(D33*1440&lt;=360,"J+6",IF(D33*1440&lt;=480,"J+8","8以上"))))))</f>
        <v/>
      </c>
    </row>
    <row r="34" customFormat="false" ht="30" hidden="false" customHeight="true" outlineLevel="0" collapsed="false">
      <c r="A34" s="35"/>
      <c r="B34" s="36"/>
      <c r="C34" s="37"/>
      <c r="D34" s="38" t="str">
        <f aca="false">IF(OR(B34="",C34=""),"",ROUND((IF(C34&lt;1,INT(B34)+C34,C34)-B34)*1440,0)/1440)</f>
        <v/>
      </c>
      <c r="E34" s="39" t="str">
        <f aca="false">IF(D34="","",IF(D34&lt;0,"打日期",IF(D34*1440&lt;=120,"J+2",IF(D34*1440&lt;=240,"J+4",IF(D34*1440&lt;=360,"J+6",IF(D34*1440&lt;=480,"J+8","8以上"))))))</f>
        <v/>
      </c>
    </row>
    <row r="35" customFormat="false" ht="30" hidden="false" customHeight="true" outlineLevel="0" collapsed="false">
      <c r="A35" s="35"/>
      <c r="B35" s="36"/>
      <c r="C35" s="37"/>
      <c r="D35" s="38" t="str">
        <f aca="false">IF(OR(B35="",C35=""),"",ROUND((IF(C35&lt;1,INT(B35)+C35,C35)-B35)*1440,0)/1440)</f>
        <v/>
      </c>
      <c r="E35" s="39" t="str">
        <f aca="false">IF(D35="","",IF(D35&lt;0,"打日期",IF(D35*1440&lt;=120,"J+2",IF(D35*1440&lt;=240,"J+4",IF(D35*1440&lt;=360,"J+6",IF(D35*1440&lt;=480,"J+8","8以上"))))))</f>
        <v/>
      </c>
    </row>
    <row r="36" customFormat="false" ht="30" hidden="false" customHeight="true" outlineLevel="0" collapsed="false">
      <c r="A36" s="35"/>
      <c r="B36" s="36"/>
      <c r="C36" s="37"/>
      <c r="D36" s="38" t="str">
        <f aca="false">IF(OR(B36="",C36=""),"",ROUND((IF(C36&lt;1,INT(B36)+C36,C36)-B36)*1440,0)/1440)</f>
        <v/>
      </c>
      <c r="E36" s="39" t="str">
        <f aca="false">IF(D36="","",IF(D36&lt;0,"打日期",IF(D36*1440&lt;=120,"J+2",IF(D36*1440&lt;=240,"J+4",IF(D36*1440&lt;=360,"J+6",IF(D36*1440&lt;=480,"J+8","8以上"))))))</f>
        <v/>
      </c>
    </row>
    <row r="37" customFormat="false" ht="30" hidden="false" customHeight="true" outlineLevel="0" collapsed="false">
      <c r="A37" s="35"/>
      <c r="B37" s="36"/>
      <c r="C37" s="37"/>
      <c r="D37" s="38" t="str">
        <f aca="false">IF(OR(B37="",C37=""),"",ROUND((IF(C37&lt;1,INT(B37)+C37,C37)-B37)*1440,0)/1440)</f>
        <v/>
      </c>
      <c r="E37" s="39" t="str">
        <f aca="false">IF(D37="","",IF(D37&lt;0,"打日期",IF(D37*1440&lt;=120,"J+2",IF(D37*1440&lt;=240,"J+4",IF(D37*1440&lt;=360,"J+6",IF(D37*1440&lt;=480,"J+8","8以上"))))))</f>
        <v/>
      </c>
    </row>
    <row r="38" customFormat="false" ht="75" hidden="false" customHeight="true" outlineLevel="0" collapsed="false">
      <c r="A38" s="40" t="s">
        <v>36</v>
      </c>
      <c r="B38" s="40"/>
      <c r="C38" s="40"/>
      <c r="D38" s="40"/>
      <c r="E38" s="40"/>
    </row>
    <row r="40" customFormat="false" ht="21" hidden="false" customHeight="true" outlineLevel="0" collapsed="false">
      <c r="A40" s="41" t="s">
        <v>35</v>
      </c>
      <c r="C40" s="41" t="s">
        <v>28</v>
      </c>
    </row>
    <row r="41" customFormat="false" ht="39.75" hidden="false" customHeight="true" outlineLevel="0" collapsed="false">
      <c r="A41" s="33" t="str">
        <f aca="false">"中和郵務股"&amp;'03'!$G$2&amp;'03'!$H$2&amp;"份 區域內互寄 快捷郵遞時效表"</f>
        <v>中和郵務股115年3月份 區域內互寄 快捷郵遞時效表</v>
      </c>
      <c r="B41" s="33"/>
      <c r="C41" s="33"/>
      <c r="D41" s="33"/>
      <c r="E41" s="33"/>
    </row>
    <row r="42" customFormat="false" ht="30" hidden="false" customHeight="true" outlineLevel="0" collapsed="false">
      <c r="A42" s="34" t="s">
        <v>29</v>
      </c>
      <c r="B42" s="34" t="s">
        <v>30</v>
      </c>
      <c r="C42" s="34" t="s">
        <v>31</v>
      </c>
      <c r="D42" s="34" t="s">
        <v>32</v>
      </c>
      <c r="E42" s="34" t="s">
        <v>33</v>
      </c>
    </row>
    <row r="43" customFormat="false" ht="30" hidden="false" customHeight="true" outlineLevel="0" collapsed="false">
      <c r="A43" s="35"/>
      <c r="B43" s="36"/>
      <c r="C43" s="37"/>
      <c r="D43" s="38" t="str">
        <f aca="false">IF(OR(B43="",C43=""),"",ROUND((IF(C43&lt;1,INT(B43)+C43,C43)-B43)*1440,0)/1440)</f>
        <v/>
      </c>
      <c r="E43" s="39" t="str">
        <f aca="false">IF(D43="","",IF(D43&lt;0,"打日期",IF(D43*1440&lt;=120,"J+2",IF(D43*1440&lt;=240,"J+4",IF(D43*1440&lt;=360,"J+6",IF(D43*1440&lt;=480,"J+8","8以上"))))))</f>
        <v/>
      </c>
    </row>
    <row r="44" customFormat="false" ht="30" hidden="false" customHeight="true" outlineLevel="0" collapsed="false">
      <c r="A44" s="35"/>
      <c r="B44" s="36"/>
      <c r="C44" s="37"/>
      <c r="D44" s="38" t="str">
        <f aca="false">IF(OR(B44="",C44=""),"",ROUND((IF(C44&lt;1,INT(B44)+C44,C44)-B44)*1440,0)/1440)</f>
        <v/>
      </c>
      <c r="E44" s="39" t="str">
        <f aca="false">IF(D44="","",IF(D44&lt;0,"打日期",IF(D44*1440&lt;=120,"J+2",IF(D44*1440&lt;=240,"J+4",IF(D44*1440&lt;=360,"J+6",IF(D44*1440&lt;=480,"J+8","8以上"))))))</f>
        <v/>
      </c>
    </row>
    <row r="45" customFormat="false" ht="30" hidden="false" customHeight="true" outlineLevel="0" collapsed="false">
      <c r="A45" s="35"/>
      <c r="B45" s="36"/>
      <c r="C45" s="37"/>
      <c r="D45" s="38" t="str">
        <f aca="false">IF(OR(B45="",C45=""),"",ROUND((IF(C45&lt;1,INT(B45)+C45,C45)-B45)*1440,0)/1440)</f>
        <v/>
      </c>
      <c r="E45" s="39" t="str">
        <f aca="false">IF(D45="","",IF(D45&lt;0,"打日期",IF(D45*1440&lt;=120,"J+2",IF(D45*1440&lt;=240,"J+4",IF(D45*1440&lt;=360,"J+6",IF(D45*1440&lt;=480,"J+8","8以上"))))))</f>
        <v/>
      </c>
    </row>
    <row r="46" customFormat="false" ht="30" hidden="false" customHeight="true" outlineLevel="0" collapsed="false">
      <c r="A46" s="35"/>
      <c r="B46" s="36"/>
      <c r="C46" s="37"/>
      <c r="D46" s="38" t="str">
        <f aca="false">IF(OR(B46="",C46=""),"",ROUND((IF(C46&lt;1,INT(B46)+C46,C46)-B46)*1440,0)/1440)</f>
        <v/>
      </c>
      <c r="E46" s="39" t="str">
        <f aca="false">IF(D46="","",IF(D46&lt;0,"打日期",IF(D46*1440&lt;=120,"J+2",IF(D46*1440&lt;=240,"J+4",IF(D46*1440&lt;=360,"J+6",IF(D46*1440&lt;=480,"J+8","8以上"))))))</f>
        <v/>
      </c>
    </row>
    <row r="47" customFormat="false" ht="30" hidden="false" customHeight="true" outlineLevel="0" collapsed="false">
      <c r="A47" s="35"/>
      <c r="B47" s="36"/>
      <c r="C47" s="37"/>
      <c r="D47" s="38" t="str">
        <f aca="false">IF(OR(B47="",C47=""),"",ROUND((IF(C47&lt;1,INT(B47)+C47,C47)-B47)*1440,0)/1440)</f>
        <v/>
      </c>
      <c r="E47" s="39" t="str">
        <f aca="false">IF(D47="","",IF(D47&lt;0,"打日期",IF(D47*1440&lt;=120,"J+2",IF(D47*1440&lt;=240,"J+4",IF(D47*1440&lt;=360,"J+6",IF(D47*1440&lt;=480,"J+8","8以上"))))))</f>
        <v/>
      </c>
    </row>
    <row r="48" customFormat="false" ht="30" hidden="false" customHeight="true" outlineLevel="0" collapsed="false">
      <c r="A48" s="35"/>
      <c r="B48" s="36"/>
      <c r="C48" s="37"/>
      <c r="D48" s="38" t="str">
        <f aca="false">IF(OR(B48="",C48=""),"",ROUND((IF(C48&lt;1,INT(B48)+C48,C48)-B48)*1440,0)/1440)</f>
        <v/>
      </c>
      <c r="E48" s="39" t="str">
        <f aca="false">IF(D48="","",IF(D48&lt;0,"打日期",IF(D48*1440&lt;=120,"J+2",IF(D48*1440&lt;=240,"J+4",IF(D48*1440&lt;=360,"J+6",IF(D48*1440&lt;=480,"J+8","8以上"))))))</f>
        <v/>
      </c>
    </row>
    <row r="49" customFormat="false" ht="30" hidden="false" customHeight="true" outlineLevel="0" collapsed="false">
      <c r="A49" s="35"/>
      <c r="B49" s="36"/>
      <c r="C49" s="37"/>
      <c r="D49" s="38" t="str">
        <f aca="false">IF(OR(B49="",C49=""),"",ROUND((IF(C49&lt;1,INT(B49)+C49,C49)-B49)*1440,0)/1440)</f>
        <v/>
      </c>
      <c r="E49" s="39" t="str">
        <f aca="false">IF(D49="","",IF(D49&lt;0,"打日期",IF(D49*1440&lt;=120,"J+2",IF(D49*1440&lt;=240,"J+4",IF(D49*1440&lt;=360,"J+6",IF(D49*1440&lt;=480,"J+8","8以上"))))))</f>
        <v/>
      </c>
    </row>
    <row r="50" customFormat="false" ht="30" hidden="false" customHeight="true" outlineLevel="0" collapsed="false">
      <c r="A50" s="35"/>
      <c r="B50" s="36"/>
      <c r="C50" s="37"/>
      <c r="D50" s="38" t="str">
        <f aca="false">IF(OR(B50="",C50=""),"",ROUND((IF(C50&lt;1,INT(B50)+C50,C50)-B50)*1440,0)/1440)</f>
        <v/>
      </c>
      <c r="E50" s="39" t="str">
        <f aca="false">IF(D50="","",IF(D50&lt;0,"打日期",IF(D50*1440&lt;=120,"J+2",IF(D50*1440&lt;=240,"J+4",IF(D50*1440&lt;=360,"J+6",IF(D50*1440&lt;=480,"J+8","8以上"))))))</f>
        <v/>
      </c>
    </row>
    <row r="51" customFormat="false" ht="30" hidden="false" customHeight="true" outlineLevel="0" collapsed="false">
      <c r="A51" s="35"/>
      <c r="B51" s="36"/>
      <c r="C51" s="37"/>
      <c r="D51" s="38" t="str">
        <f aca="false">IF(OR(B51="",C51=""),"",ROUND((IF(C51&lt;1,INT(B51)+C51,C51)-B51)*1440,0)/1440)</f>
        <v/>
      </c>
      <c r="E51" s="39" t="str">
        <f aca="false">IF(D51="","",IF(D51&lt;0,"打日期",IF(D51*1440&lt;=120,"J+2",IF(D51*1440&lt;=240,"J+4",IF(D51*1440&lt;=360,"J+6",IF(D51*1440&lt;=480,"J+8","8以上"))))))</f>
        <v/>
      </c>
    </row>
    <row r="52" customFormat="false" ht="30" hidden="false" customHeight="true" outlineLevel="0" collapsed="false">
      <c r="A52" s="35"/>
      <c r="B52" s="36"/>
      <c r="C52" s="37"/>
      <c r="D52" s="38" t="str">
        <f aca="false">IF(OR(B52="",C52=""),"",ROUND((IF(C52&lt;1,INT(B52)+C52,C52)-B52)*1440,0)/1440)</f>
        <v/>
      </c>
      <c r="E52" s="39" t="str">
        <f aca="false">IF(D52="","",IF(D52&lt;0,"打日期",IF(D52*1440&lt;=120,"J+2",IF(D52*1440&lt;=240,"J+4",IF(D52*1440&lt;=360,"J+6",IF(D52*1440&lt;=480,"J+8","8以上"))))))</f>
        <v/>
      </c>
    </row>
    <row r="53" customFormat="false" ht="30" hidden="false" customHeight="true" outlineLevel="0" collapsed="false">
      <c r="A53" s="35"/>
      <c r="B53" s="36"/>
      <c r="C53" s="37"/>
      <c r="D53" s="38" t="str">
        <f aca="false">IF(OR(B53="",C53=""),"",ROUND((IF(C53&lt;1,INT(B53)+C53,C53)-B53)*1440,0)/1440)</f>
        <v/>
      </c>
      <c r="E53" s="39" t="str">
        <f aca="false">IF(D53="","",IF(D53&lt;0,"打日期",IF(D53*1440&lt;=120,"J+2",IF(D53*1440&lt;=240,"J+4",IF(D53*1440&lt;=360,"J+6",IF(D53*1440&lt;=480,"J+8","8以上"))))))</f>
        <v/>
      </c>
    </row>
    <row r="54" customFormat="false" ht="30" hidden="false" customHeight="true" outlineLevel="0" collapsed="false">
      <c r="A54" s="35"/>
      <c r="B54" s="36"/>
      <c r="C54" s="37"/>
      <c r="D54" s="38" t="str">
        <f aca="false">IF(OR(B54="",C54=""),"",ROUND((IF(C54&lt;1,INT(B54)+C54,C54)-B54)*1440,0)/1440)</f>
        <v/>
      </c>
      <c r="E54" s="39" t="str">
        <f aca="false">IF(D54="","",IF(D54&lt;0,"打日期",IF(D54*1440&lt;=120,"J+2",IF(D54*1440&lt;=240,"J+4",IF(D54*1440&lt;=360,"J+6",IF(D54*1440&lt;=480,"J+8","8以上"))))))</f>
        <v/>
      </c>
    </row>
    <row r="55" customFormat="false" ht="30" hidden="false" customHeight="true" outlineLevel="0" collapsed="false">
      <c r="A55" s="35"/>
      <c r="B55" s="36"/>
      <c r="C55" s="37"/>
      <c r="D55" s="38" t="str">
        <f aca="false">IF(OR(B55="",C55=""),"",ROUND((IF(C55&lt;1,INT(B55)+C55,C55)-B55)*1440,0)/1440)</f>
        <v/>
      </c>
      <c r="E55" s="39" t="str">
        <f aca="false">IF(D55="","",IF(D55&lt;0,"打日期",IF(D55*1440&lt;=120,"J+2",IF(D55*1440&lt;=240,"J+4",IF(D55*1440&lt;=360,"J+6",IF(D55*1440&lt;=480,"J+8","8以上"))))))</f>
        <v/>
      </c>
    </row>
    <row r="56" customFormat="false" ht="30" hidden="false" customHeight="true" outlineLevel="0" collapsed="false">
      <c r="A56" s="35"/>
      <c r="B56" s="36"/>
      <c r="C56" s="37"/>
      <c r="D56" s="38" t="str">
        <f aca="false">IF(OR(B56="",C56=""),"",ROUND((IF(C56&lt;1,INT(B56)+C56,C56)-B56)*1440,0)/1440)</f>
        <v/>
      </c>
      <c r="E56" s="39" t="str">
        <f aca="false">IF(D56="","",IF(D56&lt;0,"打日期",IF(D56*1440&lt;=120,"J+2",IF(D56*1440&lt;=240,"J+4",IF(D56*1440&lt;=360,"J+6",IF(D56*1440&lt;=480,"J+8","8以上"))))))</f>
        <v/>
      </c>
    </row>
    <row r="57" customFormat="false" ht="30" hidden="false" customHeight="true" outlineLevel="0" collapsed="false">
      <c r="A57" s="35"/>
      <c r="B57" s="36"/>
      <c r="C57" s="37"/>
      <c r="D57" s="38" t="str">
        <f aca="false">IF(OR(B57="",C57=""),"",ROUND((IF(C57&lt;1,INT(B57)+C57,C57)-B57)*1440,0)/1440)</f>
        <v/>
      </c>
      <c r="E57" s="39" t="str">
        <f aca="false">IF(D57="","",IF(D57&lt;0,"打日期",IF(D57*1440&lt;=120,"J+2",IF(D57*1440&lt;=240,"J+4",IF(D57*1440&lt;=360,"J+6",IF(D57*1440&lt;=480,"J+8","8以上"))))))</f>
        <v/>
      </c>
    </row>
    <row r="58" customFormat="false" ht="75" hidden="false" customHeight="true" outlineLevel="0" collapsed="false">
      <c r="A58" s="40" t="s">
        <v>37</v>
      </c>
      <c r="B58" s="40"/>
      <c r="C58" s="40"/>
      <c r="D58" s="40"/>
      <c r="E58" s="40"/>
    </row>
    <row r="60" customFormat="false" ht="21" hidden="false" customHeight="true" outlineLevel="0" collapsed="false">
      <c r="A60" s="41" t="s">
        <v>35</v>
      </c>
      <c r="C60" s="41" t="s">
        <v>28</v>
      </c>
    </row>
    <row r="61" customFormat="false" ht="39.75" hidden="false" customHeight="true" outlineLevel="0" collapsed="false">
      <c r="A61" s="33" t="str">
        <f aca="false">"中和郵務股"&amp;'03'!$G$2&amp;'03'!$H$2&amp;"份 轉口 快捷郵遞時效表"</f>
        <v>中和郵務股115年3月份 轉口 快捷郵遞時效表</v>
      </c>
      <c r="B61" s="33"/>
      <c r="C61" s="33"/>
      <c r="D61" s="33"/>
      <c r="E61" s="33"/>
    </row>
    <row r="62" customFormat="false" ht="30" hidden="false" customHeight="true" outlineLevel="0" collapsed="false">
      <c r="A62" s="34" t="s">
        <v>29</v>
      </c>
      <c r="B62" s="34" t="s">
        <v>30</v>
      </c>
      <c r="C62" s="34" t="s">
        <v>31</v>
      </c>
      <c r="D62" s="34" t="s">
        <v>32</v>
      </c>
      <c r="E62" s="34" t="s">
        <v>33</v>
      </c>
    </row>
    <row r="63" customFormat="false" ht="30" hidden="false" customHeight="true" outlineLevel="0" collapsed="false">
      <c r="A63" s="35"/>
      <c r="B63" s="36"/>
      <c r="C63" s="37"/>
      <c r="D63" s="38" t="str">
        <f aca="false">IF(OR(B63="",C63=""),"",ROUND((IF(C63&lt;1,INT(B63)+C63,C63)-B63)*1440,0)/1440)</f>
        <v/>
      </c>
      <c r="E63" s="39" t="str">
        <f aca="false">IF(D63="","",IF(D63&lt;0,"打日期",IF(D63*1440&lt;=120,"J+2",IF(D63*1440&lt;=240,"J+4",IF(D63*1440&lt;=360,"J+6",IF(D63*1440&lt;=480,"J+8","8以上"))))))</f>
        <v/>
      </c>
    </row>
    <row r="64" customFormat="false" ht="30" hidden="false" customHeight="true" outlineLevel="0" collapsed="false">
      <c r="A64" s="35"/>
      <c r="B64" s="36"/>
      <c r="C64" s="37"/>
      <c r="D64" s="38" t="str">
        <f aca="false">IF(OR(B64="",C64=""),"",ROUND((IF(C64&lt;1,INT(B64)+C64,C64)-B64)*1440,0)/1440)</f>
        <v/>
      </c>
      <c r="E64" s="39" t="str">
        <f aca="false">IF(D64="","",IF(D64&lt;0,"打日期",IF(D64*1440&lt;=120,"J+2",IF(D64*1440&lt;=240,"J+4",IF(D64*1440&lt;=360,"J+6",IF(D64*1440&lt;=480,"J+8","8以上"))))))</f>
        <v/>
      </c>
    </row>
    <row r="65" customFormat="false" ht="30" hidden="false" customHeight="true" outlineLevel="0" collapsed="false">
      <c r="A65" s="35"/>
      <c r="B65" s="36"/>
      <c r="C65" s="37"/>
      <c r="D65" s="38" t="str">
        <f aca="false">IF(OR(B65="",C65=""),"",ROUND((IF(C65&lt;1,INT(B65)+C65,C65)-B65)*1440,0)/1440)</f>
        <v/>
      </c>
      <c r="E65" s="39" t="str">
        <f aca="false">IF(D65="","",IF(D65&lt;0,"打日期",IF(D65*1440&lt;=120,"J+2",IF(D65*1440&lt;=240,"J+4",IF(D65*1440&lt;=360,"J+6",IF(D65*1440&lt;=480,"J+8","8以上"))))))</f>
        <v/>
      </c>
    </row>
    <row r="66" customFormat="false" ht="30" hidden="false" customHeight="true" outlineLevel="0" collapsed="false">
      <c r="A66" s="35"/>
      <c r="B66" s="36"/>
      <c r="C66" s="37"/>
      <c r="D66" s="38" t="str">
        <f aca="false">IF(OR(B66="",C66=""),"",ROUND((IF(C66&lt;1,INT(B66)+C66,C66)-B66)*1440,0)/1440)</f>
        <v/>
      </c>
      <c r="E66" s="39" t="str">
        <f aca="false">IF(D66="","",IF(D66&lt;0,"打日期",IF(D66*1440&lt;=120,"J+2",IF(D66*1440&lt;=240,"J+4",IF(D66*1440&lt;=360,"J+6",IF(D66*1440&lt;=480,"J+8","8以上"))))))</f>
        <v/>
      </c>
    </row>
    <row r="67" customFormat="false" ht="30" hidden="false" customHeight="true" outlineLevel="0" collapsed="false">
      <c r="A67" s="35"/>
      <c r="B67" s="36"/>
      <c r="C67" s="37"/>
      <c r="D67" s="38" t="str">
        <f aca="false">IF(OR(B67="",C67=""),"",ROUND((IF(C67&lt;1,INT(B67)+C67,C67)-B67)*1440,0)/1440)</f>
        <v/>
      </c>
      <c r="E67" s="39" t="str">
        <f aca="false">IF(D67="","",IF(D67&lt;0,"打日期",IF(D67*1440&lt;=120,"J+2",IF(D67*1440&lt;=240,"J+4",IF(D67*1440&lt;=360,"J+6",IF(D67*1440&lt;=480,"J+8","8以上"))))))</f>
        <v/>
      </c>
    </row>
    <row r="68" customFormat="false" ht="30" hidden="false" customHeight="true" outlineLevel="0" collapsed="false">
      <c r="A68" s="35"/>
      <c r="B68" s="36"/>
      <c r="C68" s="37"/>
      <c r="D68" s="38" t="str">
        <f aca="false">IF(OR(B68="",C68=""),"",ROUND((IF(C68&lt;1,INT(B68)+C68,C68)-B68)*1440,0)/1440)</f>
        <v/>
      </c>
      <c r="E68" s="39" t="str">
        <f aca="false">IF(D68="","",IF(D68&lt;0,"打日期",IF(D68*1440&lt;=120,"J+2",IF(D68*1440&lt;=240,"J+4",IF(D68*1440&lt;=360,"J+6",IF(D68*1440&lt;=480,"J+8","8以上"))))))</f>
        <v/>
      </c>
    </row>
    <row r="69" customFormat="false" ht="30" hidden="false" customHeight="true" outlineLevel="0" collapsed="false">
      <c r="A69" s="35"/>
      <c r="B69" s="36"/>
      <c r="C69" s="37"/>
      <c r="D69" s="38" t="str">
        <f aca="false">IF(OR(B69="",C69=""),"",ROUND((IF(C69&lt;1,INT(B69)+C69,C69)-B69)*1440,0)/1440)</f>
        <v/>
      </c>
      <c r="E69" s="39" t="str">
        <f aca="false">IF(D69="","",IF(D69&lt;0,"打日期",IF(D69*1440&lt;=120,"J+2",IF(D69*1440&lt;=240,"J+4",IF(D69*1440&lt;=360,"J+6",IF(D69*1440&lt;=480,"J+8","8以上"))))))</f>
        <v/>
      </c>
    </row>
    <row r="70" customFormat="false" ht="30" hidden="false" customHeight="true" outlineLevel="0" collapsed="false">
      <c r="A70" s="35"/>
      <c r="B70" s="36"/>
      <c r="C70" s="37"/>
      <c r="D70" s="38" t="str">
        <f aca="false">IF(OR(B70="",C70=""),"",ROUND((IF(C70&lt;1,INT(B70)+C70,C70)-B70)*1440,0)/1440)</f>
        <v/>
      </c>
      <c r="E70" s="39" t="str">
        <f aca="false">IF(D70="","",IF(D70&lt;0,"打日期",IF(D70*1440&lt;=120,"J+2",IF(D70*1440&lt;=240,"J+4",IF(D70*1440&lt;=360,"J+6",IF(D70*1440&lt;=480,"J+8","8以上"))))))</f>
        <v/>
      </c>
    </row>
    <row r="71" customFormat="false" ht="30" hidden="false" customHeight="true" outlineLevel="0" collapsed="false">
      <c r="A71" s="35"/>
      <c r="B71" s="36"/>
      <c r="C71" s="37"/>
      <c r="D71" s="38" t="str">
        <f aca="false">IF(OR(B71="",C71=""),"",ROUND((IF(C71&lt;1,INT(B71)+C71,C71)-B71)*1440,0)/1440)</f>
        <v/>
      </c>
      <c r="E71" s="39" t="str">
        <f aca="false">IF(D71="","",IF(D71&lt;0,"打日期",IF(D71*1440&lt;=120,"J+2",IF(D71*1440&lt;=240,"J+4",IF(D71*1440&lt;=360,"J+6",IF(D71*1440&lt;=480,"J+8","8以上"))))))</f>
        <v/>
      </c>
    </row>
    <row r="72" customFormat="false" ht="30" hidden="false" customHeight="true" outlineLevel="0" collapsed="false">
      <c r="A72" s="35"/>
      <c r="B72" s="36"/>
      <c r="C72" s="37"/>
      <c r="D72" s="38" t="str">
        <f aca="false">IF(OR(B72="",C72=""),"",ROUND((IF(C72&lt;1,INT(B72)+C72,C72)-B72)*1440,0)/1440)</f>
        <v/>
      </c>
      <c r="E72" s="39" t="str">
        <f aca="false">IF(D72="","",IF(D72&lt;0,"打日期",IF(D72*1440&lt;=120,"J+2",IF(D72*1440&lt;=240,"J+4",IF(D72*1440&lt;=360,"J+6",IF(D72*1440&lt;=480,"J+8","8以上"))))))</f>
        <v/>
      </c>
    </row>
    <row r="73" customFormat="false" ht="30" hidden="false" customHeight="true" outlineLevel="0" collapsed="false">
      <c r="A73" s="35"/>
      <c r="B73" s="36"/>
      <c r="C73" s="37"/>
      <c r="D73" s="38" t="str">
        <f aca="false">IF(OR(B73="",C73=""),"",ROUND((IF(C73&lt;1,INT(B73)+C73,C73)-B73)*1440,0)/1440)</f>
        <v/>
      </c>
      <c r="E73" s="39" t="str">
        <f aca="false">IF(D73="","",IF(D73&lt;0,"打日期",IF(D73*1440&lt;=120,"J+2",IF(D73*1440&lt;=240,"J+4",IF(D73*1440&lt;=360,"J+6",IF(D73*1440&lt;=480,"J+8","8以上"))))))</f>
        <v/>
      </c>
    </row>
    <row r="74" customFormat="false" ht="30" hidden="false" customHeight="true" outlineLevel="0" collapsed="false">
      <c r="A74" s="35"/>
      <c r="B74" s="36"/>
      <c r="C74" s="37"/>
      <c r="D74" s="38" t="str">
        <f aca="false">IF(OR(B74="",C74=""),"",ROUND((IF(C74&lt;1,INT(B74)+C74,C74)-B74)*1440,0)/1440)</f>
        <v/>
      </c>
      <c r="E74" s="39" t="str">
        <f aca="false">IF(D74="","",IF(D74&lt;0,"打日期",IF(D74*1440&lt;=120,"J+2",IF(D74*1440&lt;=240,"J+4",IF(D74*1440&lt;=360,"J+6",IF(D74*1440&lt;=480,"J+8","8以上"))))))</f>
        <v/>
      </c>
    </row>
    <row r="75" customFormat="false" ht="30" hidden="false" customHeight="true" outlineLevel="0" collapsed="false">
      <c r="A75" s="35"/>
      <c r="B75" s="36"/>
      <c r="C75" s="37"/>
      <c r="D75" s="38" t="str">
        <f aca="false">IF(OR(B75="",C75=""),"",ROUND((IF(C75&lt;1,INT(B75)+C75,C75)-B75)*1440,0)/1440)</f>
        <v/>
      </c>
      <c r="E75" s="39" t="str">
        <f aca="false">IF(D75="","",IF(D75&lt;0,"打日期",IF(D75*1440&lt;=120,"J+2",IF(D75*1440&lt;=240,"J+4",IF(D75*1440&lt;=360,"J+6",IF(D75*1440&lt;=480,"J+8","8以上"))))))</f>
        <v/>
      </c>
    </row>
    <row r="76" customFormat="false" ht="30" hidden="false" customHeight="true" outlineLevel="0" collapsed="false">
      <c r="A76" s="35"/>
      <c r="B76" s="36"/>
      <c r="C76" s="37"/>
      <c r="D76" s="38" t="str">
        <f aca="false">IF(OR(B76="",C76=""),"",ROUND((IF(C76&lt;1,INT(B76)+C76,C76)-B76)*1440,0)/1440)</f>
        <v/>
      </c>
      <c r="E76" s="39" t="str">
        <f aca="false">IF(D76="","",IF(D76&lt;0,"打日期",IF(D76*1440&lt;=120,"J+2",IF(D76*1440&lt;=240,"J+4",IF(D76*1440&lt;=360,"J+6",IF(D76*1440&lt;=480,"J+8","8以上"))))))</f>
        <v/>
      </c>
    </row>
    <row r="77" customFormat="false" ht="30" hidden="false" customHeight="true" outlineLevel="0" collapsed="false">
      <c r="A77" s="35"/>
      <c r="B77" s="36"/>
      <c r="C77" s="37"/>
      <c r="D77" s="38" t="str">
        <f aca="false">IF(OR(B77="",C77=""),"",ROUND((IF(C77&lt;1,INT(B77)+C77,C77)-B77)*1440,0)/1440)</f>
        <v/>
      </c>
      <c r="E77" s="39" t="str">
        <f aca="false">IF(D77="","",IF(D77&lt;0,"打日期",IF(D77*1440&lt;=120,"J+2",IF(D77*1440&lt;=240,"J+4",IF(D77*1440&lt;=360,"J+6",IF(D77*1440&lt;=480,"J+8","8以上"))))))</f>
        <v/>
      </c>
    </row>
    <row r="78" customFormat="false" ht="75" hidden="false" customHeight="true" outlineLevel="0" collapsed="false">
      <c r="A78" s="40" t="s">
        <v>38</v>
      </c>
      <c r="B78" s="40"/>
      <c r="C78" s="40"/>
      <c r="D78" s="40"/>
      <c r="E78" s="40"/>
    </row>
    <row r="80" customFormat="false" ht="21" hidden="false" customHeight="true" outlineLevel="0" collapsed="false">
      <c r="A80" s="41" t="s">
        <v>35</v>
      </c>
      <c r="C80" s="41" t="s">
        <v>28</v>
      </c>
    </row>
  </sheetData>
  <mergeCells count="8">
    <mergeCell ref="A1:E1"/>
    <mergeCell ref="A18:E18"/>
    <mergeCell ref="A21:E21"/>
    <mergeCell ref="A38:E38"/>
    <mergeCell ref="A41:E41"/>
    <mergeCell ref="A58:E58"/>
    <mergeCell ref="A61:E61"/>
    <mergeCell ref="A78:E78"/>
  </mergeCells>
  <printOptions headings="false" gridLines="false" gridLinesSet="true" horizontalCentered="true" verticalCentered="false"/>
  <pageMargins left="0.5" right="0.5" top="0.5" bottom="0.5" header="0.511811023622047" footer="0.511811023622047"/>
  <pageSetup paperSize="9" scale="9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3" manualBreakCount="3">
    <brk id="20" man="true" max="16383" min="0"/>
    <brk id="40" man="true" max="16383" min="0"/>
    <brk id="60" man="true" max="16383" min="0"/>
  </row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true"/>
  </sheetPr>
  <dimension ref="A1:O1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J4" activeCellId="0" sqref="J4"/>
    </sheetView>
  </sheetViews>
  <sheetFormatPr defaultColWidth="8.87890625" defaultRowHeight="16.5" zeroHeight="false" outlineLevelRow="0" outlineLevelCol="0"/>
  <cols>
    <col collapsed="false" customWidth="true" hidden="false" outlineLevel="0" max="1" min="1" style="1" width="2.75"/>
    <col collapsed="false" customWidth="true" hidden="false" outlineLevel="0" max="2" min="2" style="1" width="21.5"/>
    <col collapsed="false" customWidth="true" hidden="false" outlineLevel="0" max="15" min="3" style="1" width="11"/>
    <col collapsed="false" customWidth="false" hidden="false" outlineLevel="0" max="16384" min="16" style="1" width="8.88"/>
  </cols>
  <sheetData>
    <row r="1" customFormat="false" ht="43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43.5" hidden="false" customHeight="true" outlineLevel="0" collapsed="false">
      <c r="A2" s="3"/>
      <c r="F2" s="4"/>
      <c r="G2" s="5" t="str">
        <f aca="false">'01'!G2</f>
        <v>115年</v>
      </c>
      <c r="H2" s="6" t="s">
        <v>41</v>
      </c>
      <c r="I2" s="4"/>
    </row>
    <row r="3" customFormat="false" ht="48.75" hidden="false" customHeight="true" outlineLevel="0" collapsed="false">
      <c r="A3" s="7" t="s">
        <v>3</v>
      </c>
      <c r="B3" s="7"/>
      <c r="C3" s="8" t="s">
        <v>4</v>
      </c>
      <c r="D3" s="9" t="s">
        <v>5</v>
      </c>
      <c r="E3" s="10" t="s">
        <v>6</v>
      </c>
      <c r="F3" s="9" t="s">
        <v>7</v>
      </c>
      <c r="G3" s="10" t="s">
        <v>8</v>
      </c>
      <c r="H3" s="9" t="s">
        <v>9</v>
      </c>
      <c r="I3" s="10" t="s">
        <v>10</v>
      </c>
      <c r="J3" s="9" t="s">
        <v>11</v>
      </c>
      <c r="K3" s="10" t="s">
        <v>12</v>
      </c>
      <c r="L3" s="9" t="s">
        <v>13</v>
      </c>
      <c r="M3" s="10" t="s">
        <v>14</v>
      </c>
      <c r="N3" s="11" t="s">
        <v>15</v>
      </c>
      <c r="O3" s="8" t="s">
        <v>16</v>
      </c>
    </row>
    <row r="4" customFormat="false" ht="50.25" hidden="false" customHeight="true" outlineLevel="0" collapsed="false">
      <c r="A4" s="12" t="s">
        <v>17</v>
      </c>
      <c r="B4" s="12"/>
      <c r="C4" s="13" t="n">
        <f aca="false">D4+F4+H4+J4+L4</f>
        <v>0</v>
      </c>
      <c r="D4" s="14" t="n">
        <f aca="false">COUNTIF(04子本!$E$3:$E$17,"J+2")</f>
        <v>0</v>
      </c>
      <c r="E4" s="15" t="str">
        <f aca="false">IF($C4=0,"",D4/$C4)</f>
        <v/>
      </c>
      <c r="F4" s="14" t="n">
        <f aca="false">COUNTIF(04子本!$E$3:$E$17,"J+4")</f>
        <v>0</v>
      </c>
      <c r="G4" s="15" t="str">
        <f aca="false">IF($C4=0,"",F4/$C4)</f>
        <v/>
      </c>
      <c r="H4" s="14" t="n">
        <f aca="false">COUNTIF(04子本!$E$3:$E$17,"J+6")</f>
        <v>0</v>
      </c>
      <c r="I4" s="15" t="str">
        <f aca="false">IF($C4=0,"",H4/$C4)</f>
        <v/>
      </c>
      <c r="J4" s="14" t="n">
        <f aca="false">COUNTIF(04子本!$E$3:$E$17,"J+8")</f>
        <v>0</v>
      </c>
      <c r="K4" s="15" t="str">
        <f aca="false">IF($C4=0,"",J4/$C4)</f>
        <v/>
      </c>
      <c r="L4" s="14" t="n">
        <f aca="false">COUNTIF(04子本!$E$3:$E$17,"8以上")</f>
        <v>0</v>
      </c>
      <c r="M4" s="15" t="str">
        <f aca="false">IF($C4=0,"",L4/$C4)</f>
        <v/>
      </c>
      <c r="N4" s="16" t="n">
        <v>1</v>
      </c>
      <c r="O4" s="17" t="str">
        <f aca="false">IF($C4=0,"",(D4*2+F4*4+H4*6+J4*8+L4*8)/$C4)</f>
        <v/>
      </c>
    </row>
    <row r="5" customFormat="false" ht="50.25" hidden="false" customHeight="true" outlineLevel="0" collapsed="false">
      <c r="A5" s="12" t="s">
        <v>18</v>
      </c>
      <c r="B5" s="12"/>
      <c r="C5" s="13" t="n">
        <f aca="false">D5+F5+H5+J5+L5</f>
        <v>0</v>
      </c>
      <c r="D5" s="14" t="n">
        <f aca="false">COUNTIF(04子本!$E$23:$E$37,"J+2")</f>
        <v>0</v>
      </c>
      <c r="E5" s="15" t="str">
        <f aca="false">IF($C5=0,"",D5/$C5)</f>
        <v/>
      </c>
      <c r="F5" s="14" t="n">
        <f aca="false">COUNTIF(04子本!$E$23:$E$37,"J+4")</f>
        <v>0</v>
      </c>
      <c r="G5" s="15" t="str">
        <f aca="false">IF($C5=0,"",F5/$C5)</f>
        <v/>
      </c>
      <c r="H5" s="14" t="n">
        <f aca="false">COUNTIF(04子本!$E$23:$E$37,"J+6")</f>
        <v>0</v>
      </c>
      <c r="I5" s="15" t="str">
        <f aca="false">IF($C5=0,"",H5/$C5)</f>
        <v/>
      </c>
      <c r="J5" s="14" t="n">
        <f aca="false">COUNTIF(04子本!$E$23:$E$37,"J+8")</f>
        <v>0</v>
      </c>
      <c r="K5" s="15" t="str">
        <f aca="false">IF($C5=0,"",J5/$C5)</f>
        <v/>
      </c>
      <c r="L5" s="14" t="n">
        <f aca="false">COUNTIF(04子本!$E$23:$E$37,"8以上")</f>
        <v>0</v>
      </c>
      <c r="M5" s="15" t="str">
        <f aca="false">IF($C5=0,"",L5/$C5)</f>
        <v/>
      </c>
      <c r="N5" s="16" t="n">
        <v>1</v>
      </c>
      <c r="O5" s="17" t="str">
        <f aca="false">IF($C5=0,"",(D5*2+F5*4+H5*6+J5*8+L5*8)/$C5)</f>
        <v/>
      </c>
    </row>
    <row r="6" customFormat="false" ht="54.75" hidden="false" customHeight="true" outlineLevel="0" collapsed="false">
      <c r="A6" s="18" t="s">
        <v>19</v>
      </c>
      <c r="B6" s="18"/>
      <c r="C6" s="13" t="n">
        <f aca="false">D6+F6+H6+J6+L6</f>
        <v>0</v>
      </c>
      <c r="D6" s="14" t="n">
        <f aca="false">COUNTIF(04子本!$E$43:$E$57,"J+2")</f>
        <v>0</v>
      </c>
      <c r="E6" s="15" t="str">
        <f aca="false">IF($C6=0,"",D6/$C6)</f>
        <v/>
      </c>
      <c r="F6" s="14" t="n">
        <f aca="false">COUNTIF(04子本!$E$43:$E$57,"J+4")</f>
        <v>0</v>
      </c>
      <c r="G6" s="15" t="str">
        <f aca="false">IF($C6=0,"",F6/$C6)</f>
        <v/>
      </c>
      <c r="H6" s="14" t="n">
        <f aca="false">COUNTIF(04子本!$E$43:$E$57,"J+6")</f>
        <v>0</v>
      </c>
      <c r="I6" s="15" t="str">
        <f aca="false">IF($C6=0,"",H6/$C6)</f>
        <v/>
      </c>
      <c r="J6" s="14" t="n">
        <f aca="false">COUNTIF(04子本!$E$43:$E$57,"J+8")</f>
        <v>0</v>
      </c>
      <c r="K6" s="15" t="str">
        <f aca="false">IF($C6=0,"",J6/$C6)</f>
        <v/>
      </c>
      <c r="L6" s="14" t="n">
        <f aca="false">COUNTIF(04子本!$E$43:$E$57,"8以上")</f>
        <v>0</v>
      </c>
      <c r="M6" s="15" t="str">
        <f aca="false">IF($C6=0,"",L6/$C6)</f>
        <v/>
      </c>
      <c r="N6" s="16" t="n">
        <v>1</v>
      </c>
      <c r="O6" s="17" t="str">
        <f aca="false">IF($C6=0,"",(D6*2+F6*4+H6*6+J6*8+L6*8)/$C6)</f>
        <v/>
      </c>
    </row>
    <row r="7" customFormat="false" ht="50.25" hidden="false" customHeight="true" outlineLevel="0" collapsed="false">
      <c r="A7" s="19" t="s">
        <v>20</v>
      </c>
      <c r="B7" s="19"/>
      <c r="C7" s="13" t="n">
        <f aca="false">D7+F7+H7+J7+L7</f>
        <v>0</v>
      </c>
      <c r="D7" s="14" t="n">
        <f aca="false">COUNTIF(04子本!$E$63:$E$77,"J+2")</f>
        <v>0</v>
      </c>
      <c r="E7" s="15" t="str">
        <f aca="false">IF($C7=0,"",D7/$C7)</f>
        <v/>
      </c>
      <c r="F7" s="14" t="n">
        <f aca="false">COUNTIF(04子本!$E$63:$E$77,"J+4")</f>
        <v>0</v>
      </c>
      <c r="G7" s="15" t="str">
        <f aca="false">IF($C7=0,"",F7/$C7)</f>
        <v/>
      </c>
      <c r="H7" s="14" t="n">
        <f aca="false">COUNTIF(04子本!$E$63:$E$77,"J+6")</f>
        <v>0</v>
      </c>
      <c r="I7" s="15" t="str">
        <f aca="false">IF($C7=0,"",H7/$C7)</f>
        <v/>
      </c>
      <c r="J7" s="14" t="n">
        <f aca="false">COUNTIF(04子本!$E$63:$E$77,"J+8")</f>
        <v>0</v>
      </c>
      <c r="K7" s="15" t="str">
        <f aca="false">IF($C7=0,"",J7/$C7)</f>
        <v/>
      </c>
      <c r="L7" s="14" t="n">
        <f aca="false">COUNTIF(04子本!$E$63:$E$77,"8以上")</f>
        <v>0</v>
      </c>
      <c r="M7" s="15" t="str">
        <f aca="false">IF($C7=0,"",L7/$C7)</f>
        <v/>
      </c>
      <c r="N7" s="20" t="n">
        <v>1</v>
      </c>
      <c r="O7" s="17" t="str">
        <f aca="false">IF($C7=0,"",(D7*2+F7*4+H7*6+J7*8+L7*8)/$C7)</f>
        <v/>
      </c>
    </row>
    <row r="8" customFormat="false" ht="21" hidden="false" customHeight="true" outlineLevel="0" collapsed="false">
      <c r="A8" s="21" t="s">
        <v>21</v>
      </c>
      <c r="B8" s="21"/>
      <c r="C8" s="22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</row>
    <row r="9" customFormat="false" ht="60.75" hidden="false" customHeight="true" outlineLevel="0" collapsed="false">
      <c r="A9" s="24" t="n">
        <v>1</v>
      </c>
      <c r="B9" s="25" t="s">
        <v>22</v>
      </c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</row>
    <row r="10" customFormat="false" ht="21" hidden="false" customHeight="true" outlineLevel="0" collapsed="false">
      <c r="A10" s="24" t="n">
        <v>2</v>
      </c>
      <c r="B10" s="26" t="s">
        <v>23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</row>
    <row r="11" customFormat="false" ht="39" hidden="false" customHeight="true" outlineLevel="0" collapsed="false">
      <c r="A11" s="24" t="n">
        <v>3</v>
      </c>
      <c r="B11" s="25" t="s">
        <v>24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customFormat="false" ht="39.75" hidden="false" customHeight="true" outlineLevel="0" collapsed="false">
      <c r="A12" s="24" t="n">
        <v>4</v>
      </c>
      <c r="B12" s="25" t="s">
        <v>25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</row>
    <row r="13" customFormat="false" ht="40.5" hidden="false" customHeight="true" outlineLevel="0" collapsed="false">
      <c r="A13" s="24" t="n">
        <v>5</v>
      </c>
      <c r="B13" s="25" t="s">
        <v>26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</row>
    <row r="14" customFormat="false" ht="21" hidden="false" customHeight="true" outlineLevel="0" collapsed="false">
      <c r="B14" s="27" t="s">
        <v>27</v>
      </c>
      <c r="C14" s="27"/>
      <c r="D14" s="28"/>
      <c r="E14" s="28"/>
      <c r="F14" s="29" t="s">
        <v>28</v>
      </c>
      <c r="G14" s="29"/>
      <c r="H14" s="30"/>
      <c r="I14" s="30"/>
      <c r="J14" s="31"/>
      <c r="K14" s="31"/>
      <c r="O14" s="28"/>
    </row>
  </sheetData>
  <mergeCells count="12">
    <mergeCell ref="A1:M1"/>
    <mergeCell ref="A3:B3"/>
    <mergeCell ref="A4:B4"/>
    <mergeCell ref="A5:B5"/>
    <mergeCell ref="A6:B6"/>
    <mergeCell ref="A7:B7"/>
    <mergeCell ref="A8:B8"/>
    <mergeCell ref="B9:O9"/>
    <mergeCell ref="B10:O10"/>
    <mergeCell ref="B11:O11"/>
    <mergeCell ref="B12:O12"/>
    <mergeCell ref="B13:O13"/>
  </mergeCells>
  <printOptions headings="false" gridLines="false" gridLinesSet="true" horizontalCentered="true" verticalCentered="true"/>
  <pageMargins left="0.157638888888889" right="0.551388888888889" top="0.196527777777778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E5CC"/>
    <pageSetUpPr fitToPage="false"/>
  </sheetPr>
  <dimension ref="A1:E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" defaultRowHeight="21" zeroHeight="false" outlineLevelRow="0" outlineLevelCol="0"/>
  <cols>
    <col collapsed="false" customWidth="true" hidden="false" outlineLevel="0" max="1" min="1" style="32" width="34.63"/>
    <col collapsed="false" customWidth="true" hidden="false" outlineLevel="0" max="3" min="2" style="32" width="17.63"/>
    <col collapsed="false" customWidth="true" hidden="false" outlineLevel="0" max="5" min="4" style="32" width="9.63"/>
    <col collapsed="false" customWidth="false" hidden="false" outlineLevel="0" max="16384" min="6" style="32" width="9"/>
  </cols>
  <sheetData>
    <row r="1" customFormat="false" ht="39.75" hidden="false" customHeight="true" outlineLevel="0" collapsed="false">
      <c r="A1" s="33" t="str">
        <f aca="false">"中和郵務股"&amp;'04'!$G$2&amp;'04'!$H$2&amp;"份 本口 快捷郵遞時效表"</f>
        <v>中和郵務股115年4月份 本口 快捷郵遞時效表</v>
      </c>
      <c r="B1" s="33"/>
      <c r="C1" s="33"/>
      <c r="D1" s="33"/>
      <c r="E1" s="33"/>
    </row>
    <row r="2" customFormat="false" ht="30" hidden="false" customHeight="true" outlineLevel="0" collapsed="false">
      <c r="A2" s="34" t="s">
        <v>29</v>
      </c>
      <c r="B2" s="34" t="s">
        <v>30</v>
      </c>
      <c r="C2" s="34" t="s">
        <v>31</v>
      </c>
      <c r="D2" s="34" t="s">
        <v>32</v>
      </c>
      <c r="E2" s="34" t="s">
        <v>33</v>
      </c>
    </row>
    <row r="3" customFormat="false" ht="30" hidden="false" customHeight="true" outlineLevel="0" collapsed="false">
      <c r="A3" s="35"/>
      <c r="B3" s="36"/>
      <c r="C3" s="37"/>
      <c r="D3" s="38" t="str">
        <f aca="false">IF(OR(B3="",C3=""),"",ROUND((IF(C3&lt;1,INT(B3)+C3,C3)-B3)*1440,0)/1440)</f>
        <v/>
      </c>
      <c r="E3" s="39" t="str">
        <f aca="false">IF(D3="","",IF(D3&lt;0,"打日期",IF(D3*1440&lt;=120,"J+2",IF(D3*1440&lt;=240,"J+4",IF(D3*1440&lt;=360,"J+6",IF(D3*1440&lt;=480,"J+8","8以上"))))))</f>
        <v/>
      </c>
    </row>
    <row r="4" customFormat="false" ht="30" hidden="false" customHeight="true" outlineLevel="0" collapsed="false">
      <c r="A4" s="35"/>
      <c r="B4" s="36"/>
      <c r="C4" s="37"/>
      <c r="D4" s="38" t="str">
        <f aca="false">IF(OR(B4="",C4=""),"",ROUND((IF(C4&lt;1,INT(B4)+C4,C4)-B4)*1440,0)/1440)</f>
        <v/>
      </c>
      <c r="E4" s="39" t="str">
        <f aca="false">IF(D4="","",IF(D4&lt;0,"打日期",IF(D4*1440&lt;=120,"J+2",IF(D4*1440&lt;=240,"J+4",IF(D4*1440&lt;=360,"J+6",IF(D4*1440&lt;=480,"J+8","8以上"))))))</f>
        <v/>
      </c>
    </row>
    <row r="5" customFormat="false" ht="30" hidden="false" customHeight="true" outlineLevel="0" collapsed="false">
      <c r="A5" s="35"/>
      <c r="B5" s="36"/>
      <c r="C5" s="37"/>
      <c r="D5" s="38" t="str">
        <f aca="false">IF(OR(B5="",C5=""),"",ROUND((IF(C5&lt;1,INT(B5)+C5,C5)-B5)*1440,0)/1440)</f>
        <v/>
      </c>
      <c r="E5" s="39" t="str">
        <f aca="false">IF(D5="","",IF(D5&lt;0,"打日期",IF(D5*1440&lt;=120,"J+2",IF(D5*1440&lt;=240,"J+4",IF(D5*1440&lt;=360,"J+6",IF(D5*1440&lt;=480,"J+8","8以上"))))))</f>
        <v/>
      </c>
    </row>
    <row r="6" customFormat="false" ht="30" hidden="false" customHeight="true" outlineLevel="0" collapsed="false">
      <c r="A6" s="35"/>
      <c r="B6" s="36"/>
      <c r="C6" s="37"/>
      <c r="D6" s="38" t="str">
        <f aca="false">IF(OR(B6="",C6=""),"",ROUND((IF(C6&lt;1,INT(B6)+C6,C6)-B6)*1440,0)/1440)</f>
        <v/>
      </c>
      <c r="E6" s="39" t="str">
        <f aca="false">IF(D6="","",IF(D6&lt;0,"打日期",IF(D6*1440&lt;=120,"J+2",IF(D6*1440&lt;=240,"J+4",IF(D6*1440&lt;=360,"J+6",IF(D6*1440&lt;=480,"J+8","8以上"))))))</f>
        <v/>
      </c>
    </row>
    <row r="7" customFormat="false" ht="30" hidden="false" customHeight="true" outlineLevel="0" collapsed="false">
      <c r="A7" s="35"/>
      <c r="B7" s="36"/>
      <c r="C7" s="37"/>
      <c r="D7" s="38" t="str">
        <f aca="false">IF(OR(B7="",C7=""),"",ROUND((IF(C7&lt;1,INT(B7)+C7,C7)-B7)*1440,0)/1440)</f>
        <v/>
      </c>
      <c r="E7" s="39" t="str">
        <f aca="false">IF(D7="","",IF(D7&lt;0,"打日期",IF(D7*1440&lt;=120,"J+2",IF(D7*1440&lt;=240,"J+4",IF(D7*1440&lt;=360,"J+6",IF(D7*1440&lt;=480,"J+8","8以上"))))))</f>
        <v/>
      </c>
    </row>
    <row r="8" customFormat="false" ht="30" hidden="false" customHeight="true" outlineLevel="0" collapsed="false">
      <c r="A8" s="35"/>
      <c r="B8" s="36"/>
      <c r="C8" s="37"/>
      <c r="D8" s="38" t="str">
        <f aca="false">IF(OR(B8="",C8=""),"",ROUND((IF(C8&lt;1,INT(B8)+C8,C8)-B8)*1440,0)/1440)</f>
        <v/>
      </c>
      <c r="E8" s="39" t="str">
        <f aca="false">IF(D8="","",IF(D8&lt;0,"打日期",IF(D8*1440&lt;=120,"J+2",IF(D8*1440&lt;=240,"J+4",IF(D8*1440&lt;=360,"J+6",IF(D8*1440&lt;=480,"J+8","8以上"))))))</f>
        <v/>
      </c>
    </row>
    <row r="9" customFormat="false" ht="30" hidden="false" customHeight="true" outlineLevel="0" collapsed="false">
      <c r="A9" s="35"/>
      <c r="B9" s="36"/>
      <c r="C9" s="37"/>
      <c r="D9" s="38" t="str">
        <f aca="false">IF(OR(B9="",C9=""),"",ROUND((IF(C9&lt;1,INT(B9)+C9,C9)-B9)*1440,0)/1440)</f>
        <v/>
      </c>
      <c r="E9" s="39" t="str">
        <f aca="false">IF(D9="","",IF(D9&lt;0,"打日期",IF(D9*1440&lt;=120,"J+2",IF(D9*1440&lt;=240,"J+4",IF(D9*1440&lt;=360,"J+6",IF(D9*1440&lt;=480,"J+8","8以上"))))))</f>
        <v/>
      </c>
    </row>
    <row r="10" customFormat="false" ht="30" hidden="false" customHeight="true" outlineLevel="0" collapsed="false">
      <c r="A10" s="35"/>
      <c r="B10" s="36"/>
      <c r="C10" s="37"/>
      <c r="D10" s="38" t="str">
        <f aca="false">IF(OR(B10="",C10=""),"",ROUND((IF(C10&lt;1,INT(B10)+C10,C10)-B10)*1440,0)/1440)</f>
        <v/>
      </c>
      <c r="E10" s="39" t="str">
        <f aca="false">IF(D10="","",IF(D10&lt;0,"打日期",IF(D10*1440&lt;=120,"J+2",IF(D10*1440&lt;=240,"J+4",IF(D10*1440&lt;=360,"J+6",IF(D10*1440&lt;=480,"J+8","8以上"))))))</f>
        <v/>
      </c>
    </row>
    <row r="11" customFormat="false" ht="30" hidden="false" customHeight="true" outlineLevel="0" collapsed="false">
      <c r="A11" s="35"/>
      <c r="B11" s="36"/>
      <c r="C11" s="37"/>
      <c r="D11" s="38" t="str">
        <f aca="false">IF(OR(B11="",C11=""),"",ROUND((IF(C11&lt;1,INT(B11)+C11,C11)-B11)*1440,0)/1440)</f>
        <v/>
      </c>
      <c r="E11" s="39" t="str">
        <f aca="false">IF(D11="","",IF(D11&lt;0,"打日期",IF(D11*1440&lt;=120,"J+2",IF(D11*1440&lt;=240,"J+4",IF(D11*1440&lt;=360,"J+6",IF(D11*1440&lt;=480,"J+8","8以上"))))))</f>
        <v/>
      </c>
    </row>
    <row r="12" customFormat="false" ht="30" hidden="false" customHeight="true" outlineLevel="0" collapsed="false">
      <c r="A12" s="35"/>
      <c r="B12" s="36"/>
      <c r="C12" s="37"/>
      <c r="D12" s="38" t="str">
        <f aca="false">IF(OR(B12="",C12=""),"",ROUND((IF(C12&lt;1,INT(B12)+C12,C12)-B12)*1440,0)/1440)</f>
        <v/>
      </c>
      <c r="E12" s="39" t="str">
        <f aca="false">IF(D12="","",IF(D12&lt;0,"打日期",IF(D12*1440&lt;=120,"J+2",IF(D12*1440&lt;=240,"J+4",IF(D12*1440&lt;=360,"J+6",IF(D12*1440&lt;=480,"J+8","8以上"))))))</f>
        <v/>
      </c>
    </row>
    <row r="13" customFormat="false" ht="30" hidden="false" customHeight="true" outlineLevel="0" collapsed="false">
      <c r="A13" s="35"/>
      <c r="B13" s="36"/>
      <c r="C13" s="37"/>
      <c r="D13" s="38" t="str">
        <f aca="false">IF(OR(B13="",C13=""),"",ROUND((IF(C13&lt;1,INT(B13)+C13,C13)-B13)*1440,0)/1440)</f>
        <v/>
      </c>
      <c r="E13" s="39" t="str">
        <f aca="false">IF(D13="","",IF(D13&lt;0,"打日期",IF(D13*1440&lt;=120,"J+2",IF(D13*1440&lt;=240,"J+4",IF(D13*1440&lt;=360,"J+6",IF(D13*1440&lt;=480,"J+8","8以上"))))))</f>
        <v/>
      </c>
    </row>
    <row r="14" customFormat="false" ht="30" hidden="false" customHeight="true" outlineLevel="0" collapsed="false">
      <c r="A14" s="35"/>
      <c r="B14" s="36"/>
      <c r="C14" s="37"/>
      <c r="D14" s="38" t="str">
        <f aca="false">IF(OR(B14="",C14=""),"",ROUND((IF(C14&lt;1,INT(B14)+C14,C14)-B14)*1440,0)/1440)</f>
        <v/>
      </c>
      <c r="E14" s="39" t="str">
        <f aca="false">IF(D14="","",IF(D14&lt;0,"打日期",IF(D14*1440&lt;=120,"J+2",IF(D14*1440&lt;=240,"J+4",IF(D14*1440&lt;=360,"J+6",IF(D14*1440&lt;=480,"J+8","8以上"))))))</f>
        <v/>
      </c>
    </row>
    <row r="15" customFormat="false" ht="30" hidden="false" customHeight="true" outlineLevel="0" collapsed="false">
      <c r="A15" s="35"/>
      <c r="B15" s="36"/>
      <c r="C15" s="37"/>
      <c r="D15" s="38" t="str">
        <f aca="false">IF(OR(B15="",C15=""),"",ROUND((IF(C15&lt;1,INT(B15)+C15,C15)-B15)*1440,0)/1440)</f>
        <v/>
      </c>
      <c r="E15" s="39" t="str">
        <f aca="false">IF(D15="","",IF(D15&lt;0,"打日期",IF(D15*1440&lt;=120,"J+2",IF(D15*1440&lt;=240,"J+4",IF(D15*1440&lt;=360,"J+6",IF(D15*1440&lt;=480,"J+8","8以上"))))))</f>
        <v/>
      </c>
    </row>
    <row r="16" customFormat="false" ht="30" hidden="false" customHeight="true" outlineLevel="0" collapsed="false">
      <c r="A16" s="35"/>
      <c r="B16" s="36"/>
      <c r="C16" s="37"/>
      <c r="D16" s="38" t="str">
        <f aca="false">IF(OR(B16="",C16=""),"",ROUND((IF(C16&lt;1,INT(B16)+C16,C16)-B16)*1440,0)/1440)</f>
        <v/>
      </c>
      <c r="E16" s="39" t="str">
        <f aca="false">IF(D16="","",IF(D16&lt;0,"打日期",IF(D16*1440&lt;=120,"J+2",IF(D16*1440&lt;=240,"J+4",IF(D16*1440&lt;=360,"J+6",IF(D16*1440&lt;=480,"J+8","8以上"))))))</f>
        <v/>
      </c>
    </row>
    <row r="17" customFormat="false" ht="30" hidden="false" customHeight="true" outlineLevel="0" collapsed="false">
      <c r="A17" s="35"/>
      <c r="B17" s="36"/>
      <c r="C17" s="37"/>
      <c r="D17" s="38" t="str">
        <f aca="false">IF(OR(B17="",C17=""),"",ROUND((IF(C17&lt;1,INT(B17)+C17,C17)-B17)*1440,0)/1440)</f>
        <v/>
      </c>
      <c r="E17" s="39" t="str">
        <f aca="false">IF(D17="","",IF(D17&lt;0,"打日期",IF(D17*1440&lt;=120,"J+2",IF(D17*1440&lt;=240,"J+4",IF(D17*1440&lt;=360,"J+6",IF(D17*1440&lt;=480,"J+8","8以上"))))))</f>
        <v/>
      </c>
    </row>
    <row r="18" customFormat="false" ht="75" hidden="false" customHeight="true" outlineLevel="0" collapsed="false">
      <c r="A18" s="40" t="s">
        <v>34</v>
      </c>
      <c r="B18" s="40"/>
      <c r="C18" s="40"/>
      <c r="D18" s="40"/>
      <c r="E18" s="40"/>
    </row>
    <row r="20" customFormat="false" ht="21" hidden="false" customHeight="true" outlineLevel="0" collapsed="false">
      <c r="A20" s="41" t="s">
        <v>35</v>
      </c>
      <c r="C20" s="41" t="s">
        <v>28</v>
      </c>
    </row>
    <row r="21" customFormat="false" ht="39.75" hidden="false" customHeight="true" outlineLevel="0" collapsed="false">
      <c r="A21" s="33" t="str">
        <f aca="false">"中和郵務股"&amp;'04'!$G$2&amp;'04'!$H$2&amp;"份 十大都會區 快捷郵遞時效表"</f>
        <v>中和郵務股115年4月份 十大都會區 快捷郵遞時效表</v>
      </c>
      <c r="B21" s="33"/>
      <c r="C21" s="33"/>
      <c r="D21" s="33"/>
      <c r="E21" s="33"/>
    </row>
    <row r="22" customFormat="false" ht="30" hidden="false" customHeight="true" outlineLevel="0" collapsed="false">
      <c r="A22" s="34" t="s">
        <v>29</v>
      </c>
      <c r="B22" s="34" t="s">
        <v>30</v>
      </c>
      <c r="C22" s="34" t="s">
        <v>31</v>
      </c>
      <c r="D22" s="34" t="s">
        <v>32</v>
      </c>
      <c r="E22" s="34" t="s">
        <v>33</v>
      </c>
    </row>
    <row r="23" customFormat="false" ht="30" hidden="false" customHeight="true" outlineLevel="0" collapsed="false">
      <c r="A23" s="35"/>
      <c r="B23" s="36"/>
      <c r="C23" s="37"/>
      <c r="D23" s="38" t="str">
        <f aca="false">IF(OR(B23="",C23=""),"",ROUND((IF(C23&lt;1,INT(B23)+C23,C23)-B23)*1440,0)/1440)</f>
        <v/>
      </c>
      <c r="E23" s="39" t="str">
        <f aca="false">IF(D23="","",IF(D23&lt;0,"打日期",IF(D23*1440&lt;=120,"J+2",IF(D23*1440&lt;=240,"J+4",IF(D23*1440&lt;=360,"J+6",IF(D23*1440&lt;=480,"J+8","8以上"))))))</f>
        <v/>
      </c>
    </row>
    <row r="24" customFormat="false" ht="30" hidden="false" customHeight="true" outlineLevel="0" collapsed="false">
      <c r="A24" s="35"/>
      <c r="B24" s="36"/>
      <c r="C24" s="37"/>
      <c r="D24" s="38" t="str">
        <f aca="false">IF(OR(B24="",C24=""),"",ROUND((IF(C24&lt;1,INT(B24)+C24,C24)-B24)*1440,0)/1440)</f>
        <v/>
      </c>
      <c r="E24" s="39" t="str">
        <f aca="false">IF(D24="","",IF(D24&lt;0,"打日期",IF(D24*1440&lt;=120,"J+2",IF(D24*1440&lt;=240,"J+4",IF(D24*1440&lt;=360,"J+6",IF(D24*1440&lt;=480,"J+8","8以上"))))))</f>
        <v/>
      </c>
    </row>
    <row r="25" customFormat="false" ht="30" hidden="false" customHeight="true" outlineLevel="0" collapsed="false">
      <c r="A25" s="35"/>
      <c r="B25" s="36"/>
      <c r="C25" s="37"/>
      <c r="D25" s="38" t="str">
        <f aca="false">IF(OR(B25="",C25=""),"",ROUND((IF(C25&lt;1,INT(B25)+C25,C25)-B25)*1440,0)/1440)</f>
        <v/>
      </c>
      <c r="E25" s="39" t="str">
        <f aca="false">IF(D25="","",IF(D25&lt;0,"打日期",IF(D25*1440&lt;=120,"J+2",IF(D25*1440&lt;=240,"J+4",IF(D25*1440&lt;=360,"J+6",IF(D25*1440&lt;=480,"J+8","8以上"))))))</f>
        <v/>
      </c>
    </row>
    <row r="26" customFormat="false" ht="30" hidden="false" customHeight="true" outlineLevel="0" collapsed="false">
      <c r="A26" s="35"/>
      <c r="B26" s="36"/>
      <c r="C26" s="37"/>
      <c r="D26" s="38" t="str">
        <f aca="false">IF(OR(B26="",C26=""),"",ROUND((IF(C26&lt;1,INT(B26)+C26,C26)-B26)*1440,0)/1440)</f>
        <v/>
      </c>
      <c r="E26" s="39" t="str">
        <f aca="false">IF(D26="","",IF(D26&lt;0,"打日期",IF(D26*1440&lt;=120,"J+2",IF(D26*1440&lt;=240,"J+4",IF(D26*1440&lt;=360,"J+6",IF(D26*1440&lt;=480,"J+8","8以上"))))))</f>
        <v/>
      </c>
    </row>
    <row r="27" customFormat="false" ht="30" hidden="false" customHeight="true" outlineLevel="0" collapsed="false">
      <c r="A27" s="35"/>
      <c r="B27" s="36"/>
      <c r="C27" s="37"/>
      <c r="D27" s="38" t="str">
        <f aca="false">IF(OR(B27="",C27=""),"",ROUND((IF(C27&lt;1,INT(B27)+C27,C27)-B27)*1440,0)/1440)</f>
        <v/>
      </c>
      <c r="E27" s="39" t="str">
        <f aca="false">IF(D27="","",IF(D27&lt;0,"打日期",IF(D27*1440&lt;=120,"J+2",IF(D27*1440&lt;=240,"J+4",IF(D27*1440&lt;=360,"J+6",IF(D27*1440&lt;=480,"J+8","8以上"))))))</f>
        <v/>
      </c>
    </row>
    <row r="28" customFormat="false" ht="30" hidden="false" customHeight="true" outlineLevel="0" collapsed="false">
      <c r="A28" s="35"/>
      <c r="B28" s="36"/>
      <c r="C28" s="37"/>
      <c r="D28" s="38" t="str">
        <f aca="false">IF(OR(B28="",C28=""),"",ROUND((IF(C28&lt;1,INT(B28)+C28,C28)-B28)*1440,0)/1440)</f>
        <v/>
      </c>
      <c r="E28" s="39" t="str">
        <f aca="false">IF(D28="","",IF(D28&lt;0,"打日期",IF(D28*1440&lt;=120,"J+2",IF(D28*1440&lt;=240,"J+4",IF(D28*1440&lt;=360,"J+6",IF(D28*1440&lt;=480,"J+8","8以上"))))))</f>
        <v/>
      </c>
    </row>
    <row r="29" customFormat="false" ht="30" hidden="false" customHeight="true" outlineLevel="0" collapsed="false">
      <c r="A29" s="35"/>
      <c r="B29" s="36"/>
      <c r="C29" s="37"/>
      <c r="D29" s="38" t="str">
        <f aca="false">IF(OR(B29="",C29=""),"",ROUND((IF(C29&lt;1,INT(B29)+C29,C29)-B29)*1440,0)/1440)</f>
        <v/>
      </c>
      <c r="E29" s="39" t="str">
        <f aca="false">IF(D29="","",IF(D29&lt;0,"打日期",IF(D29*1440&lt;=120,"J+2",IF(D29*1440&lt;=240,"J+4",IF(D29*1440&lt;=360,"J+6",IF(D29*1440&lt;=480,"J+8","8以上"))))))</f>
        <v/>
      </c>
    </row>
    <row r="30" customFormat="false" ht="30" hidden="false" customHeight="true" outlineLevel="0" collapsed="false">
      <c r="A30" s="35"/>
      <c r="B30" s="36"/>
      <c r="C30" s="37"/>
      <c r="D30" s="38" t="str">
        <f aca="false">IF(OR(B30="",C30=""),"",ROUND((IF(C30&lt;1,INT(B30)+C30,C30)-B30)*1440,0)/1440)</f>
        <v/>
      </c>
      <c r="E30" s="39" t="str">
        <f aca="false">IF(D30="","",IF(D30&lt;0,"打日期",IF(D30*1440&lt;=120,"J+2",IF(D30*1440&lt;=240,"J+4",IF(D30*1440&lt;=360,"J+6",IF(D30*1440&lt;=480,"J+8","8以上"))))))</f>
        <v/>
      </c>
    </row>
    <row r="31" customFormat="false" ht="30" hidden="false" customHeight="true" outlineLevel="0" collapsed="false">
      <c r="A31" s="35"/>
      <c r="B31" s="36"/>
      <c r="C31" s="37"/>
      <c r="D31" s="38" t="str">
        <f aca="false">IF(OR(B31="",C31=""),"",ROUND((IF(C31&lt;1,INT(B31)+C31,C31)-B31)*1440,0)/1440)</f>
        <v/>
      </c>
      <c r="E31" s="39" t="str">
        <f aca="false">IF(D31="","",IF(D31&lt;0,"打日期",IF(D31*1440&lt;=120,"J+2",IF(D31*1440&lt;=240,"J+4",IF(D31*1440&lt;=360,"J+6",IF(D31*1440&lt;=480,"J+8","8以上"))))))</f>
        <v/>
      </c>
    </row>
    <row r="32" customFormat="false" ht="30" hidden="false" customHeight="true" outlineLevel="0" collapsed="false">
      <c r="A32" s="35"/>
      <c r="B32" s="36"/>
      <c r="C32" s="37"/>
      <c r="D32" s="38" t="str">
        <f aca="false">IF(OR(B32="",C32=""),"",ROUND((IF(C32&lt;1,INT(B32)+C32,C32)-B32)*1440,0)/1440)</f>
        <v/>
      </c>
      <c r="E32" s="39" t="str">
        <f aca="false">IF(D32="","",IF(D32&lt;0,"打日期",IF(D32*1440&lt;=120,"J+2",IF(D32*1440&lt;=240,"J+4",IF(D32*1440&lt;=360,"J+6",IF(D32*1440&lt;=480,"J+8","8以上"))))))</f>
        <v/>
      </c>
    </row>
    <row r="33" customFormat="false" ht="30" hidden="false" customHeight="true" outlineLevel="0" collapsed="false">
      <c r="A33" s="35"/>
      <c r="B33" s="36"/>
      <c r="C33" s="37"/>
      <c r="D33" s="38" t="str">
        <f aca="false">IF(OR(B33="",C33=""),"",ROUND((IF(C33&lt;1,INT(B33)+C33,C33)-B33)*1440,0)/1440)</f>
        <v/>
      </c>
      <c r="E33" s="39" t="str">
        <f aca="false">IF(D33="","",IF(D33&lt;0,"打日期",IF(D33*1440&lt;=120,"J+2",IF(D33*1440&lt;=240,"J+4",IF(D33*1440&lt;=360,"J+6",IF(D33*1440&lt;=480,"J+8","8以上"))))))</f>
        <v/>
      </c>
    </row>
    <row r="34" customFormat="false" ht="30" hidden="false" customHeight="true" outlineLevel="0" collapsed="false">
      <c r="A34" s="35"/>
      <c r="B34" s="36"/>
      <c r="C34" s="37"/>
      <c r="D34" s="38" t="str">
        <f aca="false">IF(OR(B34="",C34=""),"",ROUND((IF(C34&lt;1,INT(B34)+C34,C34)-B34)*1440,0)/1440)</f>
        <v/>
      </c>
      <c r="E34" s="39" t="str">
        <f aca="false">IF(D34="","",IF(D34&lt;0,"打日期",IF(D34*1440&lt;=120,"J+2",IF(D34*1440&lt;=240,"J+4",IF(D34*1440&lt;=360,"J+6",IF(D34*1440&lt;=480,"J+8","8以上"))))))</f>
        <v/>
      </c>
    </row>
    <row r="35" customFormat="false" ht="30" hidden="false" customHeight="true" outlineLevel="0" collapsed="false">
      <c r="A35" s="35"/>
      <c r="B35" s="36"/>
      <c r="C35" s="37"/>
      <c r="D35" s="38" t="str">
        <f aca="false">IF(OR(B35="",C35=""),"",ROUND((IF(C35&lt;1,INT(B35)+C35,C35)-B35)*1440,0)/1440)</f>
        <v/>
      </c>
      <c r="E35" s="39" t="str">
        <f aca="false">IF(D35="","",IF(D35&lt;0,"打日期",IF(D35*1440&lt;=120,"J+2",IF(D35*1440&lt;=240,"J+4",IF(D35*1440&lt;=360,"J+6",IF(D35*1440&lt;=480,"J+8","8以上"))))))</f>
        <v/>
      </c>
    </row>
    <row r="36" customFormat="false" ht="30" hidden="false" customHeight="true" outlineLevel="0" collapsed="false">
      <c r="A36" s="35"/>
      <c r="B36" s="36"/>
      <c r="C36" s="37"/>
      <c r="D36" s="38" t="str">
        <f aca="false">IF(OR(B36="",C36=""),"",ROUND((IF(C36&lt;1,INT(B36)+C36,C36)-B36)*1440,0)/1440)</f>
        <v/>
      </c>
      <c r="E36" s="39" t="str">
        <f aca="false">IF(D36="","",IF(D36&lt;0,"打日期",IF(D36*1440&lt;=120,"J+2",IF(D36*1440&lt;=240,"J+4",IF(D36*1440&lt;=360,"J+6",IF(D36*1440&lt;=480,"J+8","8以上"))))))</f>
        <v/>
      </c>
    </row>
    <row r="37" customFormat="false" ht="30" hidden="false" customHeight="true" outlineLevel="0" collapsed="false">
      <c r="A37" s="35"/>
      <c r="B37" s="36"/>
      <c r="C37" s="37"/>
      <c r="D37" s="38" t="str">
        <f aca="false">IF(OR(B37="",C37=""),"",ROUND((IF(C37&lt;1,INT(B37)+C37,C37)-B37)*1440,0)/1440)</f>
        <v/>
      </c>
      <c r="E37" s="39" t="str">
        <f aca="false">IF(D37="","",IF(D37&lt;0,"打日期",IF(D37*1440&lt;=120,"J+2",IF(D37*1440&lt;=240,"J+4",IF(D37*1440&lt;=360,"J+6",IF(D37*1440&lt;=480,"J+8","8以上"))))))</f>
        <v/>
      </c>
    </row>
    <row r="38" customFormat="false" ht="75" hidden="false" customHeight="true" outlineLevel="0" collapsed="false">
      <c r="A38" s="40" t="s">
        <v>36</v>
      </c>
      <c r="B38" s="40"/>
      <c r="C38" s="40"/>
      <c r="D38" s="40"/>
      <c r="E38" s="40"/>
    </row>
    <row r="40" customFormat="false" ht="21" hidden="false" customHeight="true" outlineLevel="0" collapsed="false">
      <c r="A40" s="41" t="s">
        <v>35</v>
      </c>
      <c r="C40" s="41" t="s">
        <v>28</v>
      </c>
    </row>
    <row r="41" customFormat="false" ht="39.75" hidden="false" customHeight="true" outlineLevel="0" collapsed="false">
      <c r="A41" s="33" t="str">
        <f aca="false">"中和郵務股"&amp;'04'!$G$2&amp;'04'!$H$2&amp;"份 區域內互寄 快捷郵遞時效表"</f>
        <v>中和郵務股115年4月份 區域內互寄 快捷郵遞時效表</v>
      </c>
      <c r="B41" s="33"/>
      <c r="C41" s="33"/>
      <c r="D41" s="33"/>
      <c r="E41" s="33"/>
    </row>
    <row r="42" customFormat="false" ht="30" hidden="false" customHeight="true" outlineLevel="0" collapsed="false">
      <c r="A42" s="34" t="s">
        <v>29</v>
      </c>
      <c r="B42" s="34" t="s">
        <v>30</v>
      </c>
      <c r="C42" s="34" t="s">
        <v>31</v>
      </c>
      <c r="D42" s="34" t="s">
        <v>32</v>
      </c>
      <c r="E42" s="34" t="s">
        <v>33</v>
      </c>
    </row>
    <row r="43" customFormat="false" ht="30" hidden="false" customHeight="true" outlineLevel="0" collapsed="false">
      <c r="A43" s="35"/>
      <c r="B43" s="36"/>
      <c r="C43" s="37"/>
      <c r="D43" s="38" t="str">
        <f aca="false">IF(OR(B43="",C43=""),"",ROUND((IF(C43&lt;1,INT(B43)+C43,C43)-B43)*1440,0)/1440)</f>
        <v/>
      </c>
      <c r="E43" s="39" t="str">
        <f aca="false">IF(D43="","",IF(D43&lt;0,"打日期",IF(D43*1440&lt;=120,"J+2",IF(D43*1440&lt;=240,"J+4",IF(D43*1440&lt;=360,"J+6",IF(D43*1440&lt;=480,"J+8","8以上"))))))</f>
        <v/>
      </c>
    </row>
    <row r="44" customFormat="false" ht="30" hidden="false" customHeight="true" outlineLevel="0" collapsed="false">
      <c r="A44" s="35"/>
      <c r="B44" s="36"/>
      <c r="C44" s="37"/>
      <c r="D44" s="38" t="str">
        <f aca="false">IF(OR(B44="",C44=""),"",ROUND((IF(C44&lt;1,INT(B44)+C44,C44)-B44)*1440,0)/1440)</f>
        <v/>
      </c>
      <c r="E44" s="39" t="str">
        <f aca="false">IF(D44="","",IF(D44&lt;0,"打日期",IF(D44*1440&lt;=120,"J+2",IF(D44*1440&lt;=240,"J+4",IF(D44*1440&lt;=360,"J+6",IF(D44*1440&lt;=480,"J+8","8以上"))))))</f>
        <v/>
      </c>
    </row>
    <row r="45" customFormat="false" ht="30" hidden="false" customHeight="true" outlineLevel="0" collapsed="false">
      <c r="A45" s="35"/>
      <c r="B45" s="36"/>
      <c r="C45" s="37"/>
      <c r="D45" s="38" t="str">
        <f aca="false">IF(OR(B45="",C45=""),"",ROUND((IF(C45&lt;1,INT(B45)+C45,C45)-B45)*1440,0)/1440)</f>
        <v/>
      </c>
      <c r="E45" s="39" t="str">
        <f aca="false">IF(D45="","",IF(D45&lt;0,"打日期",IF(D45*1440&lt;=120,"J+2",IF(D45*1440&lt;=240,"J+4",IF(D45*1440&lt;=360,"J+6",IF(D45*1440&lt;=480,"J+8","8以上"))))))</f>
        <v/>
      </c>
    </row>
    <row r="46" customFormat="false" ht="30" hidden="false" customHeight="true" outlineLevel="0" collapsed="false">
      <c r="A46" s="35"/>
      <c r="B46" s="36"/>
      <c r="C46" s="37"/>
      <c r="D46" s="38" t="str">
        <f aca="false">IF(OR(B46="",C46=""),"",ROUND((IF(C46&lt;1,INT(B46)+C46,C46)-B46)*1440,0)/1440)</f>
        <v/>
      </c>
      <c r="E46" s="39" t="str">
        <f aca="false">IF(D46="","",IF(D46&lt;0,"打日期",IF(D46*1440&lt;=120,"J+2",IF(D46*1440&lt;=240,"J+4",IF(D46*1440&lt;=360,"J+6",IF(D46*1440&lt;=480,"J+8","8以上"))))))</f>
        <v/>
      </c>
    </row>
    <row r="47" customFormat="false" ht="30" hidden="false" customHeight="true" outlineLevel="0" collapsed="false">
      <c r="A47" s="35"/>
      <c r="B47" s="36"/>
      <c r="C47" s="37"/>
      <c r="D47" s="38" t="str">
        <f aca="false">IF(OR(B47="",C47=""),"",ROUND((IF(C47&lt;1,INT(B47)+C47,C47)-B47)*1440,0)/1440)</f>
        <v/>
      </c>
      <c r="E47" s="39" t="str">
        <f aca="false">IF(D47="","",IF(D47&lt;0,"打日期",IF(D47*1440&lt;=120,"J+2",IF(D47*1440&lt;=240,"J+4",IF(D47*1440&lt;=360,"J+6",IF(D47*1440&lt;=480,"J+8","8以上"))))))</f>
        <v/>
      </c>
    </row>
    <row r="48" customFormat="false" ht="30" hidden="false" customHeight="true" outlineLevel="0" collapsed="false">
      <c r="A48" s="35"/>
      <c r="B48" s="36"/>
      <c r="C48" s="37"/>
      <c r="D48" s="38" t="str">
        <f aca="false">IF(OR(B48="",C48=""),"",ROUND((IF(C48&lt;1,INT(B48)+C48,C48)-B48)*1440,0)/1440)</f>
        <v/>
      </c>
      <c r="E48" s="39" t="str">
        <f aca="false">IF(D48="","",IF(D48&lt;0,"打日期",IF(D48*1440&lt;=120,"J+2",IF(D48*1440&lt;=240,"J+4",IF(D48*1440&lt;=360,"J+6",IF(D48*1440&lt;=480,"J+8","8以上"))))))</f>
        <v/>
      </c>
    </row>
    <row r="49" customFormat="false" ht="30" hidden="false" customHeight="true" outlineLevel="0" collapsed="false">
      <c r="A49" s="35"/>
      <c r="B49" s="36"/>
      <c r="C49" s="37"/>
      <c r="D49" s="38" t="str">
        <f aca="false">IF(OR(B49="",C49=""),"",ROUND((IF(C49&lt;1,INT(B49)+C49,C49)-B49)*1440,0)/1440)</f>
        <v/>
      </c>
      <c r="E49" s="39" t="str">
        <f aca="false">IF(D49="","",IF(D49&lt;0,"打日期",IF(D49*1440&lt;=120,"J+2",IF(D49*1440&lt;=240,"J+4",IF(D49*1440&lt;=360,"J+6",IF(D49*1440&lt;=480,"J+8","8以上"))))))</f>
        <v/>
      </c>
    </row>
    <row r="50" customFormat="false" ht="30" hidden="false" customHeight="true" outlineLevel="0" collapsed="false">
      <c r="A50" s="35"/>
      <c r="B50" s="36"/>
      <c r="C50" s="37"/>
      <c r="D50" s="38" t="str">
        <f aca="false">IF(OR(B50="",C50=""),"",ROUND((IF(C50&lt;1,INT(B50)+C50,C50)-B50)*1440,0)/1440)</f>
        <v/>
      </c>
      <c r="E50" s="39" t="str">
        <f aca="false">IF(D50="","",IF(D50&lt;0,"打日期",IF(D50*1440&lt;=120,"J+2",IF(D50*1440&lt;=240,"J+4",IF(D50*1440&lt;=360,"J+6",IF(D50*1440&lt;=480,"J+8","8以上"))))))</f>
        <v/>
      </c>
    </row>
    <row r="51" customFormat="false" ht="30" hidden="false" customHeight="true" outlineLevel="0" collapsed="false">
      <c r="A51" s="35"/>
      <c r="B51" s="36"/>
      <c r="C51" s="37"/>
      <c r="D51" s="38" t="str">
        <f aca="false">IF(OR(B51="",C51=""),"",ROUND((IF(C51&lt;1,INT(B51)+C51,C51)-B51)*1440,0)/1440)</f>
        <v/>
      </c>
      <c r="E51" s="39" t="str">
        <f aca="false">IF(D51="","",IF(D51&lt;0,"打日期",IF(D51*1440&lt;=120,"J+2",IF(D51*1440&lt;=240,"J+4",IF(D51*1440&lt;=360,"J+6",IF(D51*1440&lt;=480,"J+8","8以上"))))))</f>
        <v/>
      </c>
    </row>
    <row r="52" customFormat="false" ht="30" hidden="false" customHeight="true" outlineLevel="0" collapsed="false">
      <c r="A52" s="35"/>
      <c r="B52" s="36"/>
      <c r="C52" s="37"/>
      <c r="D52" s="38" t="str">
        <f aca="false">IF(OR(B52="",C52=""),"",ROUND((IF(C52&lt;1,INT(B52)+C52,C52)-B52)*1440,0)/1440)</f>
        <v/>
      </c>
      <c r="E52" s="39" t="str">
        <f aca="false">IF(D52="","",IF(D52&lt;0,"打日期",IF(D52*1440&lt;=120,"J+2",IF(D52*1440&lt;=240,"J+4",IF(D52*1440&lt;=360,"J+6",IF(D52*1440&lt;=480,"J+8","8以上"))))))</f>
        <v/>
      </c>
    </row>
    <row r="53" customFormat="false" ht="30" hidden="false" customHeight="true" outlineLevel="0" collapsed="false">
      <c r="A53" s="35"/>
      <c r="B53" s="36"/>
      <c r="C53" s="37"/>
      <c r="D53" s="38" t="str">
        <f aca="false">IF(OR(B53="",C53=""),"",ROUND((IF(C53&lt;1,INT(B53)+C53,C53)-B53)*1440,0)/1440)</f>
        <v/>
      </c>
      <c r="E53" s="39" t="str">
        <f aca="false">IF(D53="","",IF(D53&lt;0,"打日期",IF(D53*1440&lt;=120,"J+2",IF(D53*1440&lt;=240,"J+4",IF(D53*1440&lt;=360,"J+6",IF(D53*1440&lt;=480,"J+8","8以上"))))))</f>
        <v/>
      </c>
    </row>
    <row r="54" customFormat="false" ht="30" hidden="false" customHeight="true" outlineLevel="0" collapsed="false">
      <c r="A54" s="35"/>
      <c r="B54" s="36"/>
      <c r="C54" s="37"/>
      <c r="D54" s="38" t="str">
        <f aca="false">IF(OR(B54="",C54=""),"",ROUND((IF(C54&lt;1,INT(B54)+C54,C54)-B54)*1440,0)/1440)</f>
        <v/>
      </c>
      <c r="E54" s="39" t="str">
        <f aca="false">IF(D54="","",IF(D54&lt;0,"打日期",IF(D54*1440&lt;=120,"J+2",IF(D54*1440&lt;=240,"J+4",IF(D54*1440&lt;=360,"J+6",IF(D54*1440&lt;=480,"J+8","8以上"))))))</f>
        <v/>
      </c>
    </row>
    <row r="55" customFormat="false" ht="30" hidden="false" customHeight="true" outlineLevel="0" collapsed="false">
      <c r="A55" s="35"/>
      <c r="B55" s="36"/>
      <c r="C55" s="37"/>
      <c r="D55" s="38" t="str">
        <f aca="false">IF(OR(B55="",C55=""),"",ROUND((IF(C55&lt;1,INT(B55)+C55,C55)-B55)*1440,0)/1440)</f>
        <v/>
      </c>
      <c r="E55" s="39" t="str">
        <f aca="false">IF(D55="","",IF(D55&lt;0,"打日期",IF(D55*1440&lt;=120,"J+2",IF(D55*1440&lt;=240,"J+4",IF(D55*1440&lt;=360,"J+6",IF(D55*1440&lt;=480,"J+8","8以上"))))))</f>
        <v/>
      </c>
    </row>
    <row r="56" customFormat="false" ht="30" hidden="false" customHeight="true" outlineLevel="0" collapsed="false">
      <c r="A56" s="35"/>
      <c r="B56" s="36"/>
      <c r="C56" s="37"/>
      <c r="D56" s="38" t="str">
        <f aca="false">IF(OR(B56="",C56=""),"",ROUND((IF(C56&lt;1,INT(B56)+C56,C56)-B56)*1440,0)/1440)</f>
        <v/>
      </c>
      <c r="E56" s="39" t="str">
        <f aca="false">IF(D56="","",IF(D56&lt;0,"打日期",IF(D56*1440&lt;=120,"J+2",IF(D56*1440&lt;=240,"J+4",IF(D56*1440&lt;=360,"J+6",IF(D56*1440&lt;=480,"J+8","8以上"))))))</f>
        <v/>
      </c>
    </row>
    <row r="57" customFormat="false" ht="30" hidden="false" customHeight="true" outlineLevel="0" collapsed="false">
      <c r="A57" s="35"/>
      <c r="B57" s="36"/>
      <c r="C57" s="37"/>
      <c r="D57" s="38" t="str">
        <f aca="false">IF(OR(B57="",C57=""),"",ROUND((IF(C57&lt;1,INT(B57)+C57,C57)-B57)*1440,0)/1440)</f>
        <v/>
      </c>
      <c r="E57" s="39" t="str">
        <f aca="false">IF(D57="","",IF(D57&lt;0,"打日期",IF(D57*1440&lt;=120,"J+2",IF(D57*1440&lt;=240,"J+4",IF(D57*1440&lt;=360,"J+6",IF(D57*1440&lt;=480,"J+8","8以上"))))))</f>
        <v/>
      </c>
    </row>
    <row r="58" customFormat="false" ht="75" hidden="false" customHeight="true" outlineLevel="0" collapsed="false">
      <c r="A58" s="40" t="s">
        <v>37</v>
      </c>
      <c r="B58" s="40"/>
      <c r="C58" s="40"/>
      <c r="D58" s="40"/>
      <c r="E58" s="40"/>
    </row>
    <row r="60" customFormat="false" ht="21" hidden="false" customHeight="true" outlineLevel="0" collapsed="false">
      <c r="A60" s="41" t="s">
        <v>35</v>
      </c>
      <c r="C60" s="41" t="s">
        <v>28</v>
      </c>
    </row>
    <row r="61" customFormat="false" ht="39.75" hidden="false" customHeight="true" outlineLevel="0" collapsed="false">
      <c r="A61" s="33" t="str">
        <f aca="false">"中和郵務股"&amp;'04'!$G$2&amp;'04'!$H$2&amp;"份 轉口 快捷郵遞時效表"</f>
        <v>中和郵務股115年4月份 轉口 快捷郵遞時效表</v>
      </c>
      <c r="B61" s="33"/>
      <c r="C61" s="33"/>
      <c r="D61" s="33"/>
      <c r="E61" s="33"/>
    </row>
    <row r="62" customFormat="false" ht="30" hidden="false" customHeight="true" outlineLevel="0" collapsed="false">
      <c r="A62" s="34" t="s">
        <v>29</v>
      </c>
      <c r="B62" s="34" t="s">
        <v>30</v>
      </c>
      <c r="C62" s="34" t="s">
        <v>31</v>
      </c>
      <c r="D62" s="34" t="s">
        <v>32</v>
      </c>
      <c r="E62" s="34" t="s">
        <v>33</v>
      </c>
    </row>
    <row r="63" customFormat="false" ht="30" hidden="false" customHeight="true" outlineLevel="0" collapsed="false">
      <c r="A63" s="35"/>
      <c r="B63" s="36"/>
      <c r="C63" s="37"/>
      <c r="D63" s="38" t="str">
        <f aca="false">IF(OR(B63="",C63=""),"",ROUND((IF(C63&lt;1,INT(B63)+C63,C63)-B63)*1440,0)/1440)</f>
        <v/>
      </c>
      <c r="E63" s="39" t="str">
        <f aca="false">IF(D63="","",IF(D63&lt;0,"打日期",IF(D63*1440&lt;=120,"J+2",IF(D63*1440&lt;=240,"J+4",IF(D63*1440&lt;=360,"J+6",IF(D63*1440&lt;=480,"J+8","8以上"))))))</f>
        <v/>
      </c>
    </row>
    <row r="64" customFormat="false" ht="30" hidden="false" customHeight="true" outlineLevel="0" collapsed="false">
      <c r="A64" s="35"/>
      <c r="B64" s="36"/>
      <c r="C64" s="37"/>
      <c r="D64" s="38" t="str">
        <f aca="false">IF(OR(B64="",C64=""),"",ROUND((IF(C64&lt;1,INT(B64)+C64,C64)-B64)*1440,0)/1440)</f>
        <v/>
      </c>
      <c r="E64" s="39" t="str">
        <f aca="false">IF(D64="","",IF(D64&lt;0,"打日期",IF(D64*1440&lt;=120,"J+2",IF(D64*1440&lt;=240,"J+4",IF(D64*1440&lt;=360,"J+6",IF(D64*1440&lt;=480,"J+8","8以上"))))))</f>
        <v/>
      </c>
    </row>
    <row r="65" customFormat="false" ht="30" hidden="false" customHeight="true" outlineLevel="0" collapsed="false">
      <c r="A65" s="35"/>
      <c r="B65" s="36"/>
      <c r="C65" s="37"/>
      <c r="D65" s="38" t="str">
        <f aca="false">IF(OR(B65="",C65=""),"",ROUND((IF(C65&lt;1,INT(B65)+C65,C65)-B65)*1440,0)/1440)</f>
        <v/>
      </c>
      <c r="E65" s="39" t="str">
        <f aca="false">IF(D65="","",IF(D65&lt;0,"打日期",IF(D65*1440&lt;=120,"J+2",IF(D65*1440&lt;=240,"J+4",IF(D65*1440&lt;=360,"J+6",IF(D65*1440&lt;=480,"J+8","8以上"))))))</f>
        <v/>
      </c>
    </row>
    <row r="66" customFormat="false" ht="30" hidden="false" customHeight="true" outlineLevel="0" collapsed="false">
      <c r="A66" s="35"/>
      <c r="B66" s="36"/>
      <c r="C66" s="37"/>
      <c r="D66" s="38" t="str">
        <f aca="false">IF(OR(B66="",C66=""),"",ROUND((IF(C66&lt;1,INT(B66)+C66,C66)-B66)*1440,0)/1440)</f>
        <v/>
      </c>
      <c r="E66" s="39" t="str">
        <f aca="false">IF(D66="","",IF(D66&lt;0,"打日期",IF(D66*1440&lt;=120,"J+2",IF(D66*1440&lt;=240,"J+4",IF(D66*1440&lt;=360,"J+6",IF(D66*1440&lt;=480,"J+8","8以上"))))))</f>
        <v/>
      </c>
    </row>
    <row r="67" customFormat="false" ht="30" hidden="false" customHeight="true" outlineLevel="0" collapsed="false">
      <c r="A67" s="35"/>
      <c r="B67" s="36"/>
      <c r="C67" s="37"/>
      <c r="D67" s="38" t="str">
        <f aca="false">IF(OR(B67="",C67=""),"",ROUND((IF(C67&lt;1,INT(B67)+C67,C67)-B67)*1440,0)/1440)</f>
        <v/>
      </c>
      <c r="E67" s="39" t="str">
        <f aca="false">IF(D67="","",IF(D67&lt;0,"打日期",IF(D67*1440&lt;=120,"J+2",IF(D67*1440&lt;=240,"J+4",IF(D67*1440&lt;=360,"J+6",IF(D67*1440&lt;=480,"J+8","8以上"))))))</f>
        <v/>
      </c>
    </row>
    <row r="68" customFormat="false" ht="30" hidden="false" customHeight="true" outlineLevel="0" collapsed="false">
      <c r="A68" s="35"/>
      <c r="B68" s="36"/>
      <c r="C68" s="37"/>
      <c r="D68" s="38" t="str">
        <f aca="false">IF(OR(B68="",C68=""),"",ROUND((IF(C68&lt;1,INT(B68)+C68,C68)-B68)*1440,0)/1440)</f>
        <v/>
      </c>
      <c r="E68" s="39" t="str">
        <f aca="false">IF(D68="","",IF(D68&lt;0,"打日期",IF(D68*1440&lt;=120,"J+2",IF(D68*1440&lt;=240,"J+4",IF(D68*1440&lt;=360,"J+6",IF(D68*1440&lt;=480,"J+8","8以上"))))))</f>
        <v/>
      </c>
    </row>
    <row r="69" customFormat="false" ht="30" hidden="false" customHeight="true" outlineLevel="0" collapsed="false">
      <c r="A69" s="35"/>
      <c r="B69" s="36"/>
      <c r="C69" s="37"/>
      <c r="D69" s="38" t="str">
        <f aca="false">IF(OR(B69="",C69=""),"",ROUND((IF(C69&lt;1,INT(B69)+C69,C69)-B69)*1440,0)/1440)</f>
        <v/>
      </c>
      <c r="E69" s="39" t="str">
        <f aca="false">IF(D69="","",IF(D69&lt;0,"打日期",IF(D69*1440&lt;=120,"J+2",IF(D69*1440&lt;=240,"J+4",IF(D69*1440&lt;=360,"J+6",IF(D69*1440&lt;=480,"J+8","8以上"))))))</f>
        <v/>
      </c>
    </row>
    <row r="70" customFormat="false" ht="30" hidden="false" customHeight="true" outlineLevel="0" collapsed="false">
      <c r="A70" s="35"/>
      <c r="B70" s="36"/>
      <c r="C70" s="37"/>
      <c r="D70" s="38" t="str">
        <f aca="false">IF(OR(B70="",C70=""),"",ROUND((IF(C70&lt;1,INT(B70)+C70,C70)-B70)*1440,0)/1440)</f>
        <v/>
      </c>
      <c r="E70" s="39" t="str">
        <f aca="false">IF(D70="","",IF(D70&lt;0,"打日期",IF(D70*1440&lt;=120,"J+2",IF(D70*1440&lt;=240,"J+4",IF(D70*1440&lt;=360,"J+6",IF(D70*1440&lt;=480,"J+8","8以上"))))))</f>
        <v/>
      </c>
    </row>
    <row r="71" customFormat="false" ht="30" hidden="false" customHeight="true" outlineLevel="0" collapsed="false">
      <c r="A71" s="35"/>
      <c r="B71" s="36"/>
      <c r="C71" s="37"/>
      <c r="D71" s="38" t="str">
        <f aca="false">IF(OR(B71="",C71=""),"",ROUND((IF(C71&lt;1,INT(B71)+C71,C71)-B71)*1440,0)/1440)</f>
        <v/>
      </c>
      <c r="E71" s="39" t="str">
        <f aca="false">IF(D71="","",IF(D71&lt;0,"打日期",IF(D71*1440&lt;=120,"J+2",IF(D71*1440&lt;=240,"J+4",IF(D71*1440&lt;=360,"J+6",IF(D71*1440&lt;=480,"J+8","8以上"))))))</f>
        <v/>
      </c>
    </row>
    <row r="72" customFormat="false" ht="30" hidden="false" customHeight="true" outlineLevel="0" collapsed="false">
      <c r="A72" s="35"/>
      <c r="B72" s="36"/>
      <c r="C72" s="37"/>
      <c r="D72" s="38" t="str">
        <f aca="false">IF(OR(B72="",C72=""),"",ROUND((IF(C72&lt;1,INT(B72)+C72,C72)-B72)*1440,0)/1440)</f>
        <v/>
      </c>
      <c r="E72" s="39" t="str">
        <f aca="false">IF(D72="","",IF(D72&lt;0,"打日期",IF(D72*1440&lt;=120,"J+2",IF(D72*1440&lt;=240,"J+4",IF(D72*1440&lt;=360,"J+6",IF(D72*1440&lt;=480,"J+8","8以上"))))))</f>
        <v/>
      </c>
    </row>
    <row r="73" customFormat="false" ht="30" hidden="false" customHeight="true" outlineLevel="0" collapsed="false">
      <c r="A73" s="35"/>
      <c r="B73" s="36"/>
      <c r="C73" s="37"/>
      <c r="D73" s="38" t="str">
        <f aca="false">IF(OR(B73="",C73=""),"",ROUND((IF(C73&lt;1,INT(B73)+C73,C73)-B73)*1440,0)/1440)</f>
        <v/>
      </c>
      <c r="E73" s="39" t="str">
        <f aca="false">IF(D73="","",IF(D73&lt;0,"打日期",IF(D73*1440&lt;=120,"J+2",IF(D73*1440&lt;=240,"J+4",IF(D73*1440&lt;=360,"J+6",IF(D73*1440&lt;=480,"J+8","8以上"))))))</f>
        <v/>
      </c>
    </row>
    <row r="74" customFormat="false" ht="30" hidden="false" customHeight="true" outlineLevel="0" collapsed="false">
      <c r="A74" s="35"/>
      <c r="B74" s="36"/>
      <c r="C74" s="37"/>
      <c r="D74" s="38" t="str">
        <f aca="false">IF(OR(B74="",C74=""),"",ROUND((IF(C74&lt;1,INT(B74)+C74,C74)-B74)*1440,0)/1440)</f>
        <v/>
      </c>
      <c r="E74" s="39" t="str">
        <f aca="false">IF(D74="","",IF(D74&lt;0,"打日期",IF(D74*1440&lt;=120,"J+2",IF(D74*1440&lt;=240,"J+4",IF(D74*1440&lt;=360,"J+6",IF(D74*1440&lt;=480,"J+8","8以上"))))))</f>
        <v/>
      </c>
    </row>
    <row r="75" customFormat="false" ht="30" hidden="false" customHeight="true" outlineLevel="0" collapsed="false">
      <c r="A75" s="35"/>
      <c r="B75" s="36"/>
      <c r="C75" s="37"/>
      <c r="D75" s="38" t="str">
        <f aca="false">IF(OR(B75="",C75=""),"",ROUND((IF(C75&lt;1,INT(B75)+C75,C75)-B75)*1440,0)/1440)</f>
        <v/>
      </c>
      <c r="E75" s="39" t="str">
        <f aca="false">IF(D75="","",IF(D75&lt;0,"打日期",IF(D75*1440&lt;=120,"J+2",IF(D75*1440&lt;=240,"J+4",IF(D75*1440&lt;=360,"J+6",IF(D75*1440&lt;=480,"J+8","8以上"))))))</f>
        <v/>
      </c>
    </row>
    <row r="76" customFormat="false" ht="30" hidden="false" customHeight="true" outlineLevel="0" collapsed="false">
      <c r="A76" s="35"/>
      <c r="B76" s="36"/>
      <c r="C76" s="37"/>
      <c r="D76" s="38" t="str">
        <f aca="false">IF(OR(B76="",C76=""),"",ROUND((IF(C76&lt;1,INT(B76)+C76,C76)-B76)*1440,0)/1440)</f>
        <v/>
      </c>
      <c r="E76" s="39" t="str">
        <f aca="false">IF(D76="","",IF(D76&lt;0,"打日期",IF(D76*1440&lt;=120,"J+2",IF(D76*1440&lt;=240,"J+4",IF(D76*1440&lt;=360,"J+6",IF(D76*1440&lt;=480,"J+8","8以上"))))))</f>
        <v/>
      </c>
    </row>
    <row r="77" customFormat="false" ht="30" hidden="false" customHeight="true" outlineLevel="0" collapsed="false">
      <c r="A77" s="35"/>
      <c r="B77" s="36"/>
      <c r="C77" s="37"/>
      <c r="D77" s="38" t="str">
        <f aca="false">IF(OR(B77="",C77=""),"",ROUND((IF(C77&lt;1,INT(B77)+C77,C77)-B77)*1440,0)/1440)</f>
        <v/>
      </c>
      <c r="E77" s="39" t="str">
        <f aca="false">IF(D77="","",IF(D77&lt;0,"打日期",IF(D77*1440&lt;=120,"J+2",IF(D77*1440&lt;=240,"J+4",IF(D77*1440&lt;=360,"J+6",IF(D77*1440&lt;=480,"J+8","8以上"))))))</f>
        <v/>
      </c>
    </row>
    <row r="78" customFormat="false" ht="75" hidden="false" customHeight="true" outlineLevel="0" collapsed="false">
      <c r="A78" s="40" t="s">
        <v>38</v>
      </c>
      <c r="B78" s="40"/>
      <c r="C78" s="40"/>
      <c r="D78" s="40"/>
      <c r="E78" s="40"/>
    </row>
    <row r="80" customFormat="false" ht="21" hidden="false" customHeight="true" outlineLevel="0" collapsed="false">
      <c r="A80" s="41" t="s">
        <v>35</v>
      </c>
      <c r="C80" s="41" t="s">
        <v>28</v>
      </c>
    </row>
  </sheetData>
  <mergeCells count="8">
    <mergeCell ref="A1:E1"/>
    <mergeCell ref="A18:E18"/>
    <mergeCell ref="A21:E21"/>
    <mergeCell ref="A38:E38"/>
    <mergeCell ref="A41:E41"/>
    <mergeCell ref="A58:E58"/>
    <mergeCell ref="A61:E61"/>
    <mergeCell ref="A78:E78"/>
  </mergeCells>
  <printOptions headings="false" gridLines="false" gridLinesSet="true" horizontalCentered="true" verticalCentered="false"/>
  <pageMargins left="0.5" right="0.5" top="0.5" bottom="0.5" header="0.511811023622047" footer="0.511811023622047"/>
  <pageSetup paperSize="9" scale="9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3" manualBreakCount="3">
    <brk id="20" man="true" max="16383" min="0"/>
    <brk id="40" man="true" max="16383" min="0"/>
    <brk id="60" man="true" max="16383" min="0"/>
  </row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true"/>
  </sheetPr>
  <dimension ref="A1:O1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R9" activeCellId="0" sqref="R9"/>
    </sheetView>
  </sheetViews>
  <sheetFormatPr defaultColWidth="8.87890625" defaultRowHeight="16.5" zeroHeight="false" outlineLevelRow="0" outlineLevelCol="0"/>
  <cols>
    <col collapsed="false" customWidth="true" hidden="false" outlineLevel="0" max="1" min="1" style="1" width="2.75"/>
    <col collapsed="false" customWidth="true" hidden="false" outlineLevel="0" max="2" min="2" style="1" width="21.5"/>
    <col collapsed="false" customWidth="true" hidden="false" outlineLevel="0" max="15" min="3" style="1" width="11"/>
    <col collapsed="false" customWidth="false" hidden="false" outlineLevel="0" max="16384" min="16" style="1" width="8.88"/>
  </cols>
  <sheetData>
    <row r="1" customFormat="false" ht="43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43.5" hidden="false" customHeight="true" outlineLevel="0" collapsed="false">
      <c r="A2" s="3"/>
      <c r="F2" s="4"/>
      <c r="G2" s="5" t="str">
        <f aca="false">'01'!G2</f>
        <v>115年</v>
      </c>
      <c r="H2" s="6" t="s">
        <v>42</v>
      </c>
      <c r="I2" s="4"/>
    </row>
    <row r="3" customFormat="false" ht="48.75" hidden="false" customHeight="true" outlineLevel="0" collapsed="false">
      <c r="A3" s="7" t="s">
        <v>3</v>
      </c>
      <c r="B3" s="7"/>
      <c r="C3" s="8" t="s">
        <v>4</v>
      </c>
      <c r="D3" s="9" t="s">
        <v>5</v>
      </c>
      <c r="E3" s="10" t="s">
        <v>6</v>
      </c>
      <c r="F3" s="9" t="s">
        <v>7</v>
      </c>
      <c r="G3" s="10" t="s">
        <v>8</v>
      </c>
      <c r="H3" s="9" t="s">
        <v>9</v>
      </c>
      <c r="I3" s="10" t="s">
        <v>10</v>
      </c>
      <c r="J3" s="9" t="s">
        <v>11</v>
      </c>
      <c r="K3" s="10" t="s">
        <v>12</v>
      </c>
      <c r="L3" s="9" t="s">
        <v>13</v>
      </c>
      <c r="M3" s="10" t="s">
        <v>14</v>
      </c>
      <c r="N3" s="11" t="s">
        <v>15</v>
      </c>
      <c r="O3" s="8" t="s">
        <v>16</v>
      </c>
    </row>
    <row r="4" customFormat="false" ht="50.25" hidden="false" customHeight="true" outlineLevel="0" collapsed="false">
      <c r="A4" s="12" t="s">
        <v>17</v>
      </c>
      <c r="B4" s="12"/>
      <c r="C4" s="13" t="n">
        <f aca="false">D4+F4+H4+J4+L4</f>
        <v>0</v>
      </c>
      <c r="D4" s="14" t="n">
        <f aca="false">COUNTIF(05子本!$E$3:$E$17,"J+2")</f>
        <v>0</v>
      </c>
      <c r="E4" s="15" t="str">
        <f aca="false">IF($C4=0,"",D4/$C4)</f>
        <v/>
      </c>
      <c r="F4" s="14" t="n">
        <f aca="false">COUNTIF(05子本!$E$3:$E$17,"J+4")</f>
        <v>0</v>
      </c>
      <c r="G4" s="15" t="str">
        <f aca="false">IF($C4=0,"",F4/$C4)</f>
        <v/>
      </c>
      <c r="H4" s="14" t="n">
        <f aca="false">COUNTIF(05子本!$E$3:$E$17,"J+6")</f>
        <v>0</v>
      </c>
      <c r="I4" s="15" t="str">
        <f aca="false">IF($C4=0,"",H4/$C4)</f>
        <v/>
      </c>
      <c r="J4" s="14" t="n">
        <f aca="false">COUNTIF(05子本!$E$3:$E$17,"J+8")</f>
        <v>0</v>
      </c>
      <c r="K4" s="15" t="str">
        <f aca="false">IF($C4=0,"",J4/$C4)</f>
        <v/>
      </c>
      <c r="L4" s="14" t="n">
        <f aca="false">COUNTIF(05子本!$E$3:$E$17,"8以上")</f>
        <v>0</v>
      </c>
      <c r="M4" s="15" t="str">
        <f aca="false">IF($C4=0,"",L4/$C4)</f>
        <v/>
      </c>
      <c r="N4" s="16" t="n">
        <v>1</v>
      </c>
      <c r="O4" s="17" t="str">
        <f aca="false">IF($C4=0,"",(D4*2+F4*4+H4*6+J4*8+L4*8)/$C4)</f>
        <v/>
      </c>
    </row>
    <row r="5" customFormat="false" ht="50.25" hidden="false" customHeight="true" outlineLevel="0" collapsed="false">
      <c r="A5" s="12" t="s">
        <v>18</v>
      </c>
      <c r="B5" s="12"/>
      <c r="C5" s="13" t="n">
        <f aca="false">D5+F5+H5+J5+L5</f>
        <v>0</v>
      </c>
      <c r="D5" s="14" t="n">
        <f aca="false">COUNTIF(05子本!$E$23:$E$37,"J+2")</f>
        <v>0</v>
      </c>
      <c r="E5" s="15" t="str">
        <f aca="false">IF($C5=0,"",D5/$C5)</f>
        <v/>
      </c>
      <c r="F5" s="14" t="n">
        <f aca="false">COUNTIF(05子本!$E$23:$E$37,"J+4")</f>
        <v>0</v>
      </c>
      <c r="G5" s="15" t="str">
        <f aca="false">IF($C5=0,"",F5/$C5)</f>
        <v/>
      </c>
      <c r="H5" s="14" t="n">
        <f aca="false">COUNTIF(05子本!$E$23:$E$37,"J+6")</f>
        <v>0</v>
      </c>
      <c r="I5" s="15" t="str">
        <f aca="false">IF($C5=0,"",H5/$C5)</f>
        <v/>
      </c>
      <c r="J5" s="14" t="n">
        <f aca="false">COUNTIF(05子本!$E$23:$E$37,"J+8")</f>
        <v>0</v>
      </c>
      <c r="K5" s="15" t="str">
        <f aca="false">IF($C5=0,"",J5/$C5)</f>
        <v/>
      </c>
      <c r="L5" s="14" t="n">
        <f aca="false">COUNTIF(05子本!$E$23:$E$37,"8以上")</f>
        <v>0</v>
      </c>
      <c r="M5" s="15" t="str">
        <f aca="false">IF($C5=0,"",L5/$C5)</f>
        <v/>
      </c>
      <c r="N5" s="16" t="n">
        <v>1</v>
      </c>
      <c r="O5" s="17" t="str">
        <f aca="false">IF($C5=0,"",(D5*2+F5*4+H5*6+J5*8+L5*8)/$C5)</f>
        <v/>
      </c>
    </row>
    <row r="6" customFormat="false" ht="54.75" hidden="false" customHeight="true" outlineLevel="0" collapsed="false">
      <c r="A6" s="18" t="s">
        <v>19</v>
      </c>
      <c r="B6" s="18"/>
      <c r="C6" s="13" t="n">
        <f aca="false">D6+F6+H6+J6+L6</f>
        <v>0</v>
      </c>
      <c r="D6" s="14" t="n">
        <f aca="false">COUNTIF(05子本!$E$43:$E$57,"J+2")</f>
        <v>0</v>
      </c>
      <c r="E6" s="15" t="str">
        <f aca="false">IF($C6=0,"",D6/$C6)</f>
        <v/>
      </c>
      <c r="F6" s="14" t="n">
        <f aca="false">COUNTIF(05子本!$E$43:$E$57,"J+4")</f>
        <v>0</v>
      </c>
      <c r="G6" s="15" t="str">
        <f aca="false">IF($C6=0,"",F6/$C6)</f>
        <v/>
      </c>
      <c r="H6" s="14" t="n">
        <f aca="false">COUNTIF(05子本!$E$43:$E$57,"J+6")</f>
        <v>0</v>
      </c>
      <c r="I6" s="15" t="str">
        <f aca="false">IF($C6=0,"",H6/$C6)</f>
        <v/>
      </c>
      <c r="J6" s="14" t="n">
        <f aca="false">COUNTIF(05子本!$E$43:$E$57,"J+8")</f>
        <v>0</v>
      </c>
      <c r="K6" s="15" t="str">
        <f aca="false">IF($C6=0,"",J6/$C6)</f>
        <v/>
      </c>
      <c r="L6" s="14" t="n">
        <f aca="false">COUNTIF(05子本!$E$43:$E$57,"8以上")</f>
        <v>0</v>
      </c>
      <c r="M6" s="15" t="str">
        <f aca="false">IF($C6=0,"",L6/$C6)</f>
        <v/>
      </c>
      <c r="N6" s="16" t="n">
        <v>1</v>
      </c>
      <c r="O6" s="17" t="str">
        <f aca="false">IF($C6=0,"",(D6*2+F6*4+H6*6+J6*8+L6*8)/$C6)</f>
        <v/>
      </c>
    </row>
    <row r="7" customFormat="false" ht="50.25" hidden="false" customHeight="true" outlineLevel="0" collapsed="false">
      <c r="A7" s="19" t="s">
        <v>20</v>
      </c>
      <c r="B7" s="19"/>
      <c r="C7" s="13" t="n">
        <f aca="false">D7+F7+H7+J7+L7</f>
        <v>0</v>
      </c>
      <c r="D7" s="14" t="n">
        <f aca="false">COUNTIF(05子本!$E$63:$E$77,"J+2")</f>
        <v>0</v>
      </c>
      <c r="E7" s="15" t="str">
        <f aca="false">IF($C7=0,"",D7/$C7)</f>
        <v/>
      </c>
      <c r="F7" s="14" t="n">
        <f aca="false">COUNTIF(05子本!$E$63:$E$77,"J+4")</f>
        <v>0</v>
      </c>
      <c r="G7" s="15" t="str">
        <f aca="false">IF($C7=0,"",F7/$C7)</f>
        <v/>
      </c>
      <c r="H7" s="14" t="n">
        <f aca="false">COUNTIF(05子本!$E$63:$E$77,"J+6")</f>
        <v>0</v>
      </c>
      <c r="I7" s="15" t="str">
        <f aca="false">IF($C7=0,"",H7/$C7)</f>
        <v/>
      </c>
      <c r="J7" s="14" t="n">
        <f aca="false">COUNTIF(05子本!$E$63:$E$77,"J+8")</f>
        <v>0</v>
      </c>
      <c r="K7" s="15" t="str">
        <f aca="false">IF($C7=0,"",J7/$C7)</f>
        <v/>
      </c>
      <c r="L7" s="14" t="n">
        <f aca="false">COUNTIF(05子本!$E$63:$E$77,"8以上")</f>
        <v>0</v>
      </c>
      <c r="M7" s="15" t="str">
        <f aca="false">IF($C7=0,"",L7/$C7)</f>
        <v/>
      </c>
      <c r="N7" s="20" t="n">
        <v>1</v>
      </c>
      <c r="O7" s="17" t="str">
        <f aca="false">IF($C7=0,"",(D7*2+F7*4+H7*6+J7*8+L7*8)/$C7)</f>
        <v/>
      </c>
    </row>
    <row r="8" customFormat="false" ht="21" hidden="false" customHeight="true" outlineLevel="0" collapsed="false">
      <c r="A8" s="21" t="s">
        <v>21</v>
      </c>
      <c r="B8" s="21"/>
      <c r="C8" s="22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</row>
    <row r="9" customFormat="false" ht="60.75" hidden="false" customHeight="true" outlineLevel="0" collapsed="false">
      <c r="A9" s="24" t="n">
        <v>1</v>
      </c>
      <c r="B9" s="25" t="s">
        <v>22</v>
      </c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</row>
    <row r="10" customFormat="false" ht="21" hidden="false" customHeight="true" outlineLevel="0" collapsed="false">
      <c r="A10" s="24" t="n">
        <v>2</v>
      </c>
      <c r="B10" s="26" t="s">
        <v>23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</row>
    <row r="11" customFormat="false" ht="39" hidden="false" customHeight="true" outlineLevel="0" collapsed="false">
      <c r="A11" s="24" t="n">
        <v>3</v>
      </c>
      <c r="B11" s="25" t="s">
        <v>24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customFormat="false" ht="39.75" hidden="false" customHeight="true" outlineLevel="0" collapsed="false">
      <c r="A12" s="24" t="n">
        <v>4</v>
      </c>
      <c r="B12" s="25" t="s">
        <v>25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</row>
    <row r="13" customFormat="false" ht="40.5" hidden="false" customHeight="true" outlineLevel="0" collapsed="false">
      <c r="A13" s="24" t="n">
        <v>5</v>
      </c>
      <c r="B13" s="25" t="s">
        <v>26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</row>
    <row r="14" customFormat="false" ht="21" hidden="false" customHeight="true" outlineLevel="0" collapsed="false">
      <c r="B14" s="27" t="s">
        <v>27</v>
      </c>
      <c r="C14" s="27"/>
      <c r="D14" s="28"/>
      <c r="E14" s="28"/>
      <c r="F14" s="29" t="s">
        <v>28</v>
      </c>
      <c r="G14" s="29"/>
      <c r="H14" s="30"/>
      <c r="I14" s="30"/>
      <c r="J14" s="31"/>
      <c r="K14" s="31"/>
      <c r="O14" s="28"/>
    </row>
  </sheetData>
  <mergeCells count="12">
    <mergeCell ref="A1:M1"/>
    <mergeCell ref="A3:B3"/>
    <mergeCell ref="A4:B4"/>
    <mergeCell ref="A5:B5"/>
    <mergeCell ref="A6:B6"/>
    <mergeCell ref="A7:B7"/>
    <mergeCell ref="A8:B8"/>
    <mergeCell ref="B9:O9"/>
    <mergeCell ref="B10:O10"/>
    <mergeCell ref="B11:O11"/>
    <mergeCell ref="B12:O12"/>
    <mergeCell ref="B13:O13"/>
  </mergeCells>
  <printOptions headings="false" gridLines="false" gridLinesSet="true" horizontalCentered="true" verticalCentered="true"/>
  <pageMargins left="0.157638888888889" right="0.551388888888889" top="0.196527777777778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E5CC"/>
    <pageSetUpPr fitToPage="false"/>
  </sheetPr>
  <dimension ref="A1:E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" defaultRowHeight="21" zeroHeight="false" outlineLevelRow="0" outlineLevelCol="0"/>
  <cols>
    <col collapsed="false" customWidth="true" hidden="false" outlineLevel="0" max="1" min="1" style="32" width="34.63"/>
    <col collapsed="false" customWidth="true" hidden="false" outlineLevel="0" max="3" min="2" style="32" width="17.63"/>
    <col collapsed="false" customWidth="true" hidden="false" outlineLevel="0" max="5" min="4" style="32" width="9.63"/>
    <col collapsed="false" customWidth="false" hidden="false" outlineLevel="0" max="16384" min="6" style="32" width="9"/>
  </cols>
  <sheetData>
    <row r="1" customFormat="false" ht="39.75" hidden="false" customHeight="true" outlineLevel="0" collapsed="false">
      <c r="A1" s="33" t="str">
        <f aca="false">"中和郵務股"&amp;'05'!$G$2&amp;'05'!$H$2&amp;"份 本口 快捷郵遞時效表"</f>
        <v>中和郵務股115年5月份 本口 快捷郵遞時效表</v>
      </c>
      <c r="B1" s="33"/>
      <c r="C1" s="33"/>
      <c r="D1" s="33"/>
      <c r="E1" s="33"/>
    </row>
    <row r="2" customFormat="false" ht="30" hidden="false" customHeight="true" outlineLevel="0" collapsed="false">
      <c r="A2" s="34" t="s">
        <v>29</v>
      </c>
      <c r="B2" s="34" t="s">
        <v>30</v>
      </c>
      <c r="C2" s="34" t="s">
        <v>31</v>
      </c>
      <c r="D2" s="34" t="s">
        <v>32</v>
      </c>
      <c r="E2" s="34" t="s">
        <v>33</v>
      </c>
    </row>
    <row r="3" customFormat="false" ht="30" hidden="false" customHeight="true" outlineLevel="0" collapsed="false">
      <c r="A3" s="35"/>
      <c r="B3" s="36"/>
      <c r="C3" s="37"/>
      <c r="D3" s="38" t="str">
        <f aca="false">IF(OR(B3="",C3=""),"",ROUND((IF(C3&lt;1,INT(B3)+C3,C3)-B3)*1440,0)/1440)</f>
        <v/>
      </c>
      <c r="E3" s="39" t="str">
        <f aca="false">IF(D3="","",IF(D3&lt;0,"打日期",IF(D3*1440&lt;=120,"J+2",IF(D3*1440&lt;=240,"J+4",IF(D3*1440&lt;=360,"J+6",IF(D3*1440&lt;=480,"J+8","8以上"))))))</f>
        <v/>
      </c>
    </row>
    <row r="4" customFormat="false" ht="30" hidden="false" customHeight="true" outlineLevel="0" collapsed="false">
      <c r="A4" s="35"/>
      <c r="B4" s="36"/>
      <c r="C4" s="37"/>
      <c r="D4" s="38" t="str">
        <f aca="false">IF(OR(B4="",C4=""),"",ROUND((IF(C4&lt;1,INT(B4)+C4,C4)-B4)*1440,0)/1440)</f>
        <v/>
      </c>
      <c r="E4" s="39" t="str">
        <f aca="false">IF(D4="","",IF(D4&lt;0,"打日期",IF(D4*1440&lt;=120,"J+2",IF(D4*1440&lt;=240,"J+4",IF(D4*1440&lt;=360,"J+6",IF(D4*1440&lt;=480,"J+8","8以上"))))))</f>
        <v/>
      </c>
    </row>
    <row r="5" customFormat="false" ht="30" hidden="false" customHeight="true" outlineLevel="0" collapsed="false">
      <c r="A5" s="35"/>
      <c r="B5" s="36"/>
      <c r="C5" s="37"/>
      <c r="D5" s="38" t="str">
        <f aca="false">IF(OR(B5="",C5=""),"",ROUND((IF(C5&lt;1,INT(B5)+C5,C5)-B5)*1440,0)/1440)</f>
        <v/>
      </c>
      <c r="E5" s="39" t="str">
        <f aca="false">IF(D5="","",IF(D5&lt;0,"打日期",IF(D5*1440&lt;=120,"J+2",IF(D5*1440&lt;=240,"J+4",IF(D5*1440&lt;=360,"J+6",IF(D5*1440&lt;=480,"J+8","8以上"))))))</f>
        <v/>
      </c>
    </row>
    <row r="6" customFormat="false" ht="30" hidden="false" customHeight="true" outlineLevel="0" collapsed="false">
      <c r="A6" s="35"/>
      <c r="B6" s="36"/>
      <c r="C6" s="37"/>
      <c r="D6" s="38" t="str">
        <f aca="false">IF(OR(B6="",C6=""),"",ROUND((IF(C6&lt;1,INT(B6)+C6,C6)-B6)*1440,0)/1440)</f>
        <v/>
      </c>
      <c r="E6" s="39" t="str">
        <f aca="false">IF(D6="","",IF(D6&lt;0,"打日期",IF(D6*1440&lt;=120,"J+2",IF(D6*1440&lt;=240,"J+4",IF(D6*1440&lt;=360,"J+6",IF(D6*1440&lt;=480,"J+8","8以上"))))))</f>
        <v/>
      </c>
    </row>
    <row r="7" customFormat="false" ht="30" hidden="false" customHeight="true" outlineLevel="0" collapsed="false">
      <c r="A7" s="35"/>
      <c r="B7" s="36"/>
      <c r="C7" s="37"/>
      <c r="D7" s="38" t="str">
        <f aca="false">IF(OR(B7="",C7=""),"",ROUND((IF(C7&lt;1,INT(B7)+C7,C7)-B7)*1440,0)/1440)</f>
        <v/>
      </c>
      <c r="E7" s="39" t="str">
        <f aca="false">IF(D7="","",IF(D7&lt;0,"打日期",IF(D7*1440&lt;=120,"J+2",IF(D7*1440&lt;=240,"J+4",IF(D7*1440&lt;=360,"J+6",IF(D7*1440&lt;=480,"J+8","8以上"))))))</f>
        <v/>
      </c>
    </row>
    <row r="8" customFormat="false" ht="30" hidden="false" customHeight="true" outlineLevel="0" collapsed="false">
      <c r="A8" s="35"/>
      <c r="B8" s="36"/>
      <c r="C8" s="37"/>
      <c r="D8" s="38" t="str">
        <f aca="false">IF(OR(B8="",C8=""),"",ROUND((IF(C8&lt;1,INT(B8)+C8,C8)-B8)*1440,0)/1440)</f>
        <v/>
      </c>
      <c r="E8" s="39" t="str">
        <f aca="false">IF(D8="","",IF(D8&lt;0,"打日期",IF(D8*1440&lt;=120,"J+2",IF(D8*1440&lt;=240,"J+4",IF(D8*1440&lt;=360,"J+6",IF(D8*1440&lt;=480,"J+8","8以上"))))))</f>
        <v/>
      </c>
    </row>
    <row r="9" customFormat="false" ht="30" hidden="false" customHeight="true" outlineLevel="0" collapsed="false">
      <c r="A9" s="35"/>
      <c r="B9" s="36"/>
      <c r="C9" s="37"/>
      <c r="D9" s="38" t="str">
        <f aca="false">IF(OR(B9="",C9=""),"",ROUND((IF(C9&lt;1,INT(B9)+C9,C9)-B9)*1440,0)/1440)</f>
        <v/>
      </c>
      <c r="E9" s="39" t="str">
        <f aca="false">IF(D9="","",IF(D9&lt;0,"打日期",IF(D9*1440&lt;=120,"J+2",IF(D9*1440&lt;=240,"J+4",IF(D9*1440&lt;=360,"J+6",IF(D9*1440&lt;=480,"J+8","8以上"))))))</f>
        <v/>
      </c>
    </row>
    <row r="10" customFormat="false" ht="30" hidden="false" customHeight="true" outlineLevel="0" collapsed="false">
      <c r="A10" s="35"/>
      <c r="B10" s="36"/>
      <c r="C10" s="37"/>
      <c r="D10" s="38" t="str">
        <f aca="false">IF(OR(B10="",C10=""),"",ROUND((IF(C10&lt;1,INT(B10)+C10,C10)-B10)*1440,0)/1440)</f>
        <v/>
      </c>
      <c r="E10" s="39" t="str">
        <f aca="false">IF(D10="","",IF(D10&lt;0,"打日期",IF(D10*1440&lt;=120,"J+2",IF(D10*1440&lt;=240,"J+4",IF(D10*1440&lt;=360,"J+6",IF(D10*1440&lt;=480,"J+8","8以上"))))))</f>
        <v/>
      </c>
    </row>
    <row r="11" customFormat="false" ht="30" hidden="false" customHeight="true" outlineLevel="0" collapsed="false">
      <c r="A11" s="35"/>
      <c r="B11" s="36"/>
      <c r="C11" s="37"/>
      <c r="D11" s="38" t="str">
        <f aca="false">IF(OR(B11="",C11=""),"",ROUND((IF(C11&lt;1,INT(B11)+C11,C11)-B11)*1440,0)/1440)</f>
        <v/>
      </c>
      <c r="E11" s="39" t="str">
        <f aca="false">IF(D11="","",IF(D11&lt;0,"打日期",IF(D11*1440&lt;=120,"J+2",IF(D11*1440&lt;=240,"J+4",IF(D11*1440&lt;=360,"J+6",IF(D11*1440&lt;=480,"J+8","8以上"))))))</f>
        <v/>
      </c>
    </row>
    <row r="12" customFormat="false" ht="30" hidden="false" customHeight="true" outlineLevel="0" collapsed="false">
      <c r="A12" s="35"/>
      <c r="B12" s="36"/>
      <c r="C12" s="37"/>
      <c r="D12" s="38" t="str">
        <f aca="false">IF(OR(B12="",C12=""),"",ROUND((IF(C12&lt;1,INT(B12)+C12,C12)-B12)*1440,0)/1440)</f>
        <v/>
      </c>
      <c r="E12" s="39" t="str">
        <f aca="false">IF(D12="","",IF(D12&lt;0,"打日期",IF(D12*1440&lt;=120,"J+2",IF(D12*1440&lt;=240,"J+4",IF(D12*1440&lt;=360,"J+6",IF(D12*1440&lt;=480,"J+8","8以上"))))))</f>
        <v/>
      </c>
    </row>
    <row r="13" customFormat="false" ht="30" hidden="false" customHeight="true" outlineLevel="0" collapsed="false">
      <c r="A13" s="35"/>
      <c r="B13" s="36"/>
      <c r="C13" s="37"/>
      <c r="D13" s="38" t="str">
        <f aca="false">IF(OR(B13="",C13=""),"",ROUND((IF(C13&lt;1,INT(B13)+C13,C13)-B13)*1440,0)/1440)</f>
        <v/>
      </c>
      <c r="E13" s="39" t="str">
        <f aca="false">IF(D13="","",IF(D13&lt;0,"打日期",IF(D13*1440&lt;=120,"J+2",IF(D13*1440&lt;=240,"J+4",IF(D13*1440&lt;=360,"J+6",IF(D13*1440&lt;=480,"J+8","8以上"))))))</f>
        <v/>
      </c>
    </row>
    <row r="14" customFormat="false" ht="30" hidden="false" customHeight="true" outlineLevel="0" collapsed="false">
      <c r="A14" s="35"/>
      <c r="B14" s="36"/>
      <c r="C14" s="37"/>
      <c r="D14" s="38" t="str">
        <f aca="false">IF(OR(B14="",C14=""),"",ROUND((IF(C14&lt;1,INT(B14)+C14,C14)-B14)*1440,0)/1440)</f>
        <v/>
      </c>
      <c r="E14" s="39" t="str">
        <f aca="false">IF(D14="","",IF(D14&lt;0,"打日期",IF(D14*1440&lt;=120,"J+2",IF(D14*1440&lt;=240,"J+4",IF(D14*1440&lt;=360,"J+6",IF(D14*1440&lt;=480,"J+8","8以上"))))))</f>
        <v/>
      </c>
    </row>
    <row r="15" customFormat="false" ht="30" hidden="false" customHeight="true" outlineLevel="0" collapsed="false">
      <c r="A15" s="35"/>
      <c r="B15" s="36"/>
      <c r="C15" s="37"/>
      <c r="D15" s="38" t="str">
        <f aca="false">IF(OR(B15="",C15=""),"",ROUND((IF(C15&lt;1,INT(B15)+C15,C15)-B15)*1440,0)/1440)</f>
        <v/>
      </c>
      <c r="E15" s="39" t="str">
        <f aca="false">IF(D15="","",IF(D15&lt;0,"打日期",IF(D15*1440&lt;=120,"J+2",IF(D15*1440&lt;=240,"J+4",IF(D15*1440&lt;=360,"J+6",IF(D15*1440&lt;=480,"J+8","8以上"))))))</f>
        <v/>
      </c>
    </row>
    <row r="16" customFormat="false" ht="30" hidden="false" customHeight="true" outlineLevel="0" collapsed="false">
      <c r="A16" s="35"/>
      <c r="B16" s="36"/>
      <c r="C16" s="37"/>
      <c r="D16" s="38" t="str">
        <f aca="false">IF(OR(B16="",C16=""),"",ROUND((IF(C16&lt;1,INT(B16)+C16,C16)-B16)*1440,0)/1440)</f>
        <v/>
      </c>
      <c r="E16" s="39" t="str">
        <f aca="false">IF(D16="","",IF(D16&lt;0,"打日期",IF(D16*1440&lt;=120,"J+2",IF(D16*1440&lt;=240,"J+4",IF(D16*1440&lt;=360,"J+6",IF(D16*1440&lt;=480,"J+8","8以上"))))))</f>
        <v/>
      </c>
    </row>
    <row r="17" customFormat="false" ht="30" hidden="false" customHeight="true" outlineLevel="0" collapsed="false">
      <c r="A17" s="35"/>
      <c r="B17" s="36"/>
      <c r="C17" s="37"/>
      <c r="D17" s="38" t="str">
        <f aca="false">IF(OR(B17="",C17=""),"",ROUND((IF(C17&lt;1,INT(B17)+C17,C17)-B17)*1440,0)/1440)</f>
        <v/>
      </c>
      <c r="E17" s="39" t="str">
        <f aca="false">IF(D17="","",IF(D17&lt;0,"打日期",IF(D17*1440&lt;=120,"J+2",IF(D17*1440&lt;=240,"J+4",IF(D17*1440&lt;=360,"J+6",IF(D17*1440&lt;=480,"J+8","8以上"))))))</f>
        <v/>
      </c>
    </row>
    <row r="18" customFormat="false" ht="75" hidden="false" customHeight="true" outlineLevel="0" collapsed="false">
      <c r="A18" s="40" t="s">
        <v>34</v>
      </c>
      <c r="B18" s="40"/>
      <c r="C18" s="40"/>
      <c r="D18" s="40"/>
      <c r="E18" s="40"/>
    </row>
    <row r="20" customFormat="false" ht="21" hidden="false" customHeight="true" outlineLevel="0" collapsed="false">
      <c r="A20" s="41" t="s">
        <v>35</v>
      </c>
      <c r="C20" s="41" t="s">
        <v>28</v>
      </c>
    </row>
    <row r="21" customFormat="false" ht="39.75" hidden="false" customHeight="true" outlineLevel="0" collapsed="false">
      <c r="A21" s="33" t="str">
        <f aca="false">"中和郵務股"&amp;'05'!$G$2&amp;'05'!$H$2&amp;"份 十大都會區 快捷郵遞時效表"</f>
        <v>中和郵務股115年5月份 十大都會區 快捷郵遞時效表</v>
      </c>
      <c r="B21" s="33"/>
      <c r="C21" s="33"/>
      <c r="D21" s="33"/>
      <c r="E21" s="33"/>
    </row>
    <row r="22" customFormat="false" ht="30" hidden="false" customHeight="true" outlineLevel="0" collapsed="false">
      <c r="A22" s="34" t="s">
        <v>29</v>
      </c>
      <c r="B22" s="34" t="s">
        <v>30</v>
      </c>
      <c r="C22" s="34" t="s">
        <v>31</v>
      </c>
      <c r="D22" s="34" t="s">
        <v>32</v>
      </c>
      <c r="E22" s="34" t="s">
        <v>33</v>
      </c>
    </row>
    <row r="23" customFormat="false" ht="30" hidden="false" customHeight="true" outlineLevel="0" collapsed="false">
      <c r="A23" s="35"/>
      <c r="B23" s="36"/>
      <c r="C23" s="37"/>
      <c r="D23" s="38" t="str">
        <f aca="false">IF(OR(B23="",C23=""),"",ROUND((IF(C23&lt;1,INT(B23)+C23,C23)-B23)*1440,0)/1440)</f>
        <v/>
      </c>
      <c r="E23" s="39" t="str">
        <f aca="false">IF(D23="","",IF(D23&lt;0,"打日期",IF(D23*1440&lt;=120,"J+2",IF(D23*1440&lt;=240,"J+4",IF(D23*1440&lt;=360,"J+6",IF(D23*1440&lt;=480,"J+8","8以上"))))))</f>
        <v/>
      </c>
    </row>
    <row r="24" customFormat="false" ht="30" hidden="false" customHeight="true" outlineLevel="0" collapsed="false">
      <c r="A24" s="35"/>
      <c r="B24" s="36"/>
      <c r="C24" s="37"/>
      <c r="D24" s="38" t="str">
        <f aca="false">IF(OR(B24="",C24=""),"",ROUND((IF(C24&lt;1,INT(B24)+C24,C24)-B24)*1440,0)/1440)</f>
        <v/>
      </c>
      <c r="E24" s="39" t="str">
        <f aca="false">IF(D24="","",IF(D24&lt;0,"打日期",IF(D24*1440&lt;=120,"J+2",IF(D24*1440&lt;=240,"J+4",IF(D24*1440&lt;=360,"J+6",IF(D24*1440&lt;=480,"J+8","8以上"))))))</f>
        <v/>
      </c>
    </row>
    <row r="25" customFormat="false" ht="30" hidden="false" customHeight="true" outlineLevel="0" collapsed="false">
      <c r="A25" s="35"/>
      <c r="B25" s="36"/>
      <c r="C25" s="37"/>
      <c r="D25" s="38" t="str">
        <f aca="false">IF(OR(B25="",C25=""),"",ROUND((IF(C25&lt;1,INT(B25)+C25,C25)-B25)*1440,0)/1440)</f>
        <v/>
      </c>
      <c r="E25" s="39" t="str">
        <f aca="false">IF(D25="","",IF(D25&lt;0,"打日期",IF(D25*1440&lt;=120,"J+2",IF(D25*1440&lt;=240,"J+4",IF(D25*1440&lt;=360,"J+6",IF(D25*1440&lt;=480,"J+8","8以上"))))))</f>
        <v/>
      </c>
    </row>
    <row r="26" customFormat="false" ht="30" hidden="false" customHeight="true" outlineLevel="0" collapsed="false">
      <c r="A26" s="35"/>
      <c r="B26" s="36"/>
      <c r="C26" s="37"/>
      <c r="D26" s="38" t="str">
        <f aca="false">IF(OR(B26="",C26=""),"",ROUND((IF(C26&lt;1,INT(B26)+C26,C26)-B26)*1440,0)/1440)</f>
        <v/>
      </c>
      <c r="E26" s="39" t="str">
        <f aca="false">IF(D26="","",IF(D26&lt;0,"打日期",IF(D26*1440&lt;=120,"J+2",IF(D26*1440&lt;=240,"J+4",IF(D26*1440&lt;=360,"J+6",IF(D26*1440&lt;=480,"J+8","8以上"))))))</f>
        <v/>
      </c>
    </row>
    <row r="27" customFormat="false" ht="30" hidden="false" customHeight="true" outlineLevel="0" collapsed="false">
      <c r="A27" s="35"/>
      <c r="B27" s="36"/>
      <c r="C27" s="37"/>
      <c r="D27" s="38" t="str">
        <f aca="false">IF(OR(B27="",C27=""),"",ROUND((IF(C27&lt;1,INT(B27)+C27,C27)-B27)*1440,0)/1440)</f>
        <v/>
      </c>
      <c r="E27" s="39" t="str">
        <f aca="false">IF(D27="","",IF(D27&lt;0,"打日期",IF(D27*1440&lt;=120,"J+2",IF(D27*1440&lt;=240,"J+4",IF(D27*1440&lt;=360,"J+6",IF(D27*1440&lt;=480,"J+8","8以上"))))))</f>
        <v/>
      </c>
    </row>
    <row r="28" customFormat="false" ht="30" hidden="false" customHeight="true" outlineLevel="0" collapsed="false">
      <c r="A28" s="35"/>
      <c r="B28" s="36"/>
      <c r="C28" s="37"/>
      <c r="D28" s="38" t="str">
        <f aca="false">IF(OR(B28="",C28=""),"",ROUND((IF(C28&lt;1,INT(B28)+C28,C28)-B28)*1440,0)/1440)</f>
        <v/>
      </c>
      <c r="E28" s="39" t="str">
        <f aca="false">IF(D28="","",IF(D28&lt;0,"打日期",IF(D28*1440&lt;=120,"J+2",IF(D28*1440&lt;=240,"J+4",IF(D28*1440&lt;=360,"J+6",IF(D28*1440&lt;=480,"J+8","8以上"))))))</f>
        <v/>
      </c>
    </row>
    <row r="29" customFormat="false" ht="30" hidden="false" customHeight="true" outlineLevel="0" collapsed="false">
      <c r="A29" s="35"/>
      <c r="B29" s="36"/>
      <c r="C29" s="37"/>
      <c r="D29" s="38" t="str">
        <f aca="false">IF(OR(B29="",C29=""),"",ROUND((IF(C29&lt;1,INT(B29)+C29,C29)-B29)*1440,0)/1440)</f>
        <v/>
      </c>
      <c r="E29" s="39" t="str">
        <f aca="false">IF(D29="","",IF(D29&lt;0,"打日期",IF(D29*1440&lt;=120,"J+2",IF(D29*1440&lt;=240,"J+4",IF(D29*1440&lt;=360,"J+6",IF(D29*1440&lt;=480,"J+8","8以上"))))))</f>
        <v/>
      </c>
    </row>
    <row r="30" customFormat="false" ht="30" hidden="false" customHeight="true" outlineLevel="0" collapsed="false">
      <c r="A30" s="35"/>
      <c r="B30" s="36"/>
      <c r="C30" s="37"/>
      <c r="D30" s="38" t="str">
        <f aca="false">IF(OR(B30="",C30=""),"",ROUND((IF(C30&lt;1,INT(B30)+C30,C30)-B30)*1440,0)/1440)</f>
        <v/>
      </c>
      <c r="E30" s="39" t="str">
        <f aca="false">IF(D30="","",IF(D30&lt;0,"打日期",IF(D30*1440&lt;=120,"J+2",IF(D30*1440&lt;=240,"J+4",IF(D30*1440&lt;=360,"J+6",IF(D30*1440&lt;=480,"J+8","8以上"))))))</f>
        <v/>
      </c>
    </row>
    <row r="31" customFormat="false" ht="30" hidden="false" customHeight="true" outlineLevel="0" collapsed="false">
      <c r="A31" s="35"/>
      <c r="B31" s="36"/>
      <c r="C31" s="37"/>
      <c r="D31" s="38" t="str">
        <f aca="false">IF(OR(B31="",C31=""),"",ROUND((IF(C31&lt;1,INT(B31)+C31,C31)-B31)*1440,0)/1440)</f>
        <v/>
      </c>
      <c r="E31" s="39" t="str">
        <f aca="false">IF(D31="","",IF(D31&lt;0,"打日期",IF(D31*1440&lt;=120,"J+2",IF(D31*1440&lt;=240,"J+4",IF(D31*1440&lt;=360,"J+6",IF(D31*1440&lt;=480,"J+8","8以上"))))))</f>
        <v/>
      </c>
    </row>
    <row r="32" customFormat="false" ht="30" hidden="false" customHeight="true" outlineLevel="0" collapsed="false">
      <c r="A32" s="35"/>
      <c r="B32" s="36"/>
      <c r="C32" s="37"/>
      <c r="D32" s="38" t="str">
        <f aca="false">IF(OR(B32="",C32=""),"",ROUND((IF(C32&lt;1,INT(B32)+C32,C32)-B32)*1440,0)/1440)</f>
        <v/>
      </c>
      <c r="E32" s="39" t="str">
        <f aca="false">IF(D32="","",IF(D32&lt;0,"打日期",IF(D32*1440&lt;=120,"J+2",IF(D32*1440&lt;=240,"J+4",IF(D32*1440&lt;=360,"J+6",IF(D32*1440&lt;=480,"J+8","8以上"))))))</f>
        <v/>
      </c>
    </row>
    <row r="33" customFormat="false" ht="30" hidden="false" customHeight="true" outlineLevel="0" collapsed="false">
      <c r="A33" s="35"/>
      <c r="B33" s="36"/>
      <c r="C33" s="37"/>
      <c r="D33" s="38" t="str">
        <f aca="false">IF(OR(B33="",C33=""),"",ROUND((IF(C33&lt;1,INT(B33)+C33,C33)-B33)*1440,0)/1440)</f>
        <v/>
      </c>
      <c r="E33" s="39" t="str">
        <f aca="false">IF(D33="","",IF(D33&lt;0,"打日期",IF(D33*1440&lt;=120,"J+2",IF(D33*1440&lt;=240,"J+4",IF(D33*1440&lt;=360,"J+6",IF(D33*1440&lt;=480,"J+8","8以上"))))))</f>
        <v/>
      </c>
    </row>
    <row r="34" customFormat="false" ht="30" hidden="false" customHeight="true" outlineLevel="0" collapsed="false">
      <c r="A34" s="35"/>
      <c r="B34" s="36"/>
      <c r="C34" s="37"/>
      <c r="D34" s="38" t="str">
        <f aca="false">IF(OR(B34="",C34=""),"",ROUND((IF(C34&lt;1,INT(B34)+C34,C34)-B34)*1440,0)/1440)</f>
        <v/>
      </c>
      <c r="E34" s="39" t="str">
        <f aca="false">IF(D34="","",IF(D34&lt;0,"打日期",IF(D34*1440&lt;=120,"J+2",IF(D34*1440&lt;=240,"J+4",IF(D34*1440&lt;=360,"J+6",IF(D34*1440&lt;=480,"J+8","8以上"))))))</f>
        <v/>
      </c>
    </row>
    <row r="35" customFormat="false" ht="30" hidden="false" customHeight="true" outlineLevel="0" collapsed="false">
      <c r="A35" s="35"/>
      <c r="B35" s="36"/>
      <c r="C35" s="37"/>
      <c r="D35" s="38" t="str">
        <f aca="false">IF(OR(B35="",C35=""),"",ROUND((IF(C35&lt;1,INT(B35)+C35,C35)-B35)*1440,0)/1440)</f>
        <v/>
      </c>
      <c r="E35" s="39" t="str">
        <f aca="false">IF(D35="","",IF(D35&lt;0,"打日期",IF(D35*1440&lt;=120,"J+2",IF(D35*1440&lt;=240,"J+4",IF(D35*1440&lt;=360,"J+6",IF(D35*1440&lt;=480,"J+8","8以上"))))))</f>
        <v/>
      </c>
    </row>
    <row r="36" customFormat="false" ht="30" hidden="false" customHeight="true" outlineLevel="0" collapsed="false">
      <c r="A36" s="35"/>
      <c r="B36" s="36"/>
      <c r="C36" s="37"/>
      <c r="D36" s="38" t="str">
        <f aca="false">IF(OR(B36="",C36=""),"",ROUND((IF(C36&lt;1,INT(B36)+C36,C36)-B36)*1440,0)/1440)</f>
        <v/>
      </c>
      <c r="E36" s="39" t="str">
        <f aca="false">IF(D36="","",IF(D36&lt;0,"打日期",IF(D36*1440&lt;=120,"J+2",IF(D36*1440&lt;=240,"J+4",IF(D36*1440&lt;=360,"J+6",IF(D36*1440&lt;=480,"J+8","8以上"))))))</f>
        <v/>
      </c>
    </row>
    <row r="37" customFormat="false" ht="30" hidden="false" customHeight="true" outlineLevel="0" collapsed="false">
      <c r="A37" s="35"/>
      <c r="B37" s="36"/>
      <c r="C37" s="37"/>
      <c r="D37" s="38" t="str">
        <f aca="false">IF(OR(B37="",C37=""),"",ROUND((IF(C37&lt;1,INT(B37)+C37,C37)-B37)*1440,0)/1440)</f>
        <v/>
      </c>
      <c r="E37" s="39" t="str">
        <f aca="false">IF(D37="","",IF(D37&lt;0,"打日期",IF(D37*1440&lt;=120,"J+2",IF(D37*1440&lt;=240,"J+4",IF(D37*1440&lt;=360,"J+6",IF(D37*1440&lt;=480,"J+8","8以上"))))))</f>
        <v/>
      </c>
    </row>
    <row r="38" customFormat="false" ht="75" hidden="false" customHeight="true" outlineLevel="0" collapsed="false">
      <c r="A38" s="40" t="s">
        <v>36</v>
      </c>
      <c r="B38" s="40"/>
      <c r="C38" s="40"/>
      <c r="D38" s="40"/>
      <c r="E38" s="40"/>
    </row>
    <row r="40" customFormat="false" ht="21" hidden="false" customHeight="true" outlineLevel="0" collapsed="false">
      <c r="A40" s="41" t="s">
        <v>35</v>
      </c>
      <c r="C40" s="41" t="s">
        <v>28</v>
      </c>
    </row>
    <row r="41" customFormat="false" ht="39.75" hidden="false" customHeight="true" outlineLevel="0" collapsed="false">
      <c r="A41" s="33" t="str">
        <f aca="false">"中和郵務股"&amp;'05'!$G$2&amp;'05'!$H$2&amp;"份 區域內互寄 快捷郵遞時效表"</f>
        <v>中和郵務股115年5月份 區域內互寄 快捷郵遞時效表</v>
      </c>
      <c r="B41" s="33"/>
      <c r="C41" s="33"/>
      <c r="D41" s="33"/>
      <c r="E41" s="33"/>
    </row>
    <row r="42" customFormat="false" ht="30" hidden="false" customHeight="true" outlineLevel="0" collapsed="false">
      <c r="A42" s="34" t="s">
        <v>29</v>
      </c>
      <c r="B42" s="34" t="s">
        <v>30</v>
      </c>
      <c r="C42" s="34" t="s">
        <v>31</v>
      </c>
      <c r="D42" s="34" t="s">
        <v>32</v>
      </c>
      <c r="E42" s="34" t="s">
        <v>33</v>
      </c>
    </row>
    <row r="43" customFormat="false" ht="30" hidden="false" customHeight="true" outlineLevel="0" collapsed="false">
      <c r="A43" s="35"/>
      <c r="B43" s="36"/>
      <c r="C43" s="37"/>
      <c r="D43" s="38" t="str">
        <f aca="false">IF(OR(B43="",C43=""),"",ROUND((IF(C43&lt;1,INT(B43)+C43,C43)-B43)*1440,0)/1440)</f>
        <v/>
      </c>
      <c r="E43" s="39" t="str">
        <f aca="false">IF(D43="","",IF(D43&lt;0,"打日期",IF(D43*1440&lt;=120,"J+2",IF(D43*1440&lt;=240,"J+4",IF(D43*1440&lt;=360,"J+6",IF(D43*1440&lt;=480,"J+8","8以上"))))))</f>
        <v/>
      </c>
    </row>
    <row r="44" customFormat="false" ht="30" hidden="false" customHeight="true" outlineLevel="0" collapsed="false">
      <c r="A44" s="35"/>
      <c r="B44" s="36"/>
      <c r="C44" s="37"/>
      <c r="D44" s="38" t="str">
        <f aca="false">IF(OR(B44="",C44=""),"",ROUND((IF(C44&lt;1,INT(B44)+C44,C44)-B44)*1440,0)/1440)</f>
        <v/>
      </c>
      <c r="E44" s="39" t="str">
        <f aca="false">IF(D44="","",IF(D44&lt;0,"打日期",IF(D44*1440&lt;=120,"J+2",IF(D44*1440&lt;=240,"J+4",IF(D44*1440&lt;=360,"J+6",IF(D44*1440&lt;=480,"J+8","8以上"))))))</f>
        <v/>
      </c>
    </row>
    <row r="45" customFormat="false" ht="30" hidden="false" customHeight="true" outlineLevel="0" collapsed="false">
      <c r="A45" s="35"/>
      <c r="B45" s="36"/>
      <c r="C45" s="37"/>
      <c r="D45" s="38" t="str">
        <f aca="false">IF(OR(B45="",C45=""),"",ROUND((IF(C45&lt;1,INT(B45)+C45,C45)-B45)*1440,0)/1440)</f>
        <v/>
      </c>
      <c r="E45" s="39" t="str">
        <f aca="false">IF(D45="","",IF(D45&lt;0,"打日期",IF(D45*1440&lt;=120,"J+2",IF(D45*1440&lt;=240,"J+4",IF(D45*1440&lt;=360,"J+6",IF(D45*1440&lt;=480,"J+8","8以上"))))))</f>
        <v/>
      </c>
    </row>
    <row r="46" customFormat="false" ht="30" hidden="false" customHeight="true" outlineLevel="0" collapsed="false">
      <c r="A46" s="35"/>
      <c r="B46" s="36"/>
      <c r="C46" s="37"/>
      <c r="D46" s="38" t="str">
        <f aca="false">IF(OR(B46="",C46=""),"",ROUND((IF(C46&lt;1,INT(B46)+C46,C46)-B46)*1440,0)/1440)</f>
        <v/>
      </c>
      <c r="E46" s="39" t="str">
        <f aca="false">IF(D46="","",IF(D46&lt;0,"打日期",IF(D46*1440&lt;=120,"J+2",IF(D46*1440&lt;=240,"J+4",IF(D46*1440&lt;=360,"J+6",IF(D46*1440&lt;=480,"J+8","8以上"))))))</f>
        <v/>
      </c>
    </row>
    <row r="47" customFormat="false" ht="30" hidden="false" customHeight="true" outlineLevel="0" collapsed="false">
      <c r="A47" s="35"/>
      <c r="B47" s="36"/>
      <c r="C47" s="37"/>
      <c r="D47" s="38" t="str">
        <f aca="false">IF(OR(B47="",C47=""),"",ROUND((IF(C47&lt;1,INT(B47)+C47,C47)-B47)*1440,0)/1440)</f>
        <v/>
      </c>
      <c r="E47" s="39" t="str">
        <f aca="false">IF(D47="","",IF(D47&lt;0,"打日期",IF(D47*1440&lt;=120,"J+2",IF(D47*1440&lt;=240,"J+4",IF(D47*1440&lt;=360,"J+6",IF(D47*1440&lt;=480,"J+8","8以上"))))))</f>
        <v/>
      </c>
    </row>
    <row r="48" customFormat="false" ht="30" hidden="false" customHeight="true" outlineLevel="0" collapsed="false">
      <c r="A48" s="35"/>
      <c r="B48" s="36"/>
      <c r="C48" s="37"/>
      <c r="D48" s="38" t="str">
        <f aca="false">IF(OR(B48="",C48=""),"",ROUND((IF(C48&lt;1,INT(B48)+C48,C48)-B48)*1440,0)/1440)</f>
        <v/>
      </c>
      <c r="E48" s="39" t="str">
        <f aca="false">IF(D48="","",IF(D48&lt;0,"打日期",IF(D48*1440&lt;=120,"J+2",IF(D48*1440&lt;=240,"J+4",IF(D48*1440&lt;=360,"J+6",IF(D48*1440&lt;=480,"J+8","8以上"))))))</f>
        <v/>
      </c>
    </row>
    <row r="49" customFormat="false" ht="30" hidden="false" customHeight="true" outlineLevel="0" collapsed="false">
      <c r="A49" s="35"/>
      <c r="B49" s="36"/>
      <c r="C49" s="37"/>
      <c r="D49" s="38" t="str">
        <f aca="false">IF(OR(B49="",C49=""),"",ROUND((IF(C49&lt;1,INT(B49)+C49,C49)-B49)*1440,0)/1440)</f>
        <v/>
      </c>
      <c r="E49" s="39" t="str">
        <f aca="false">IF(D49="","",IF(D49&lt;0,"打日期",IF(D49*1440&lt;=120,"J+2",IF(D49*1440&lt;=240,"J+4",IF(D49*1440&lt;=360,"J+6",IF(D49*1440&lt;=480,"J+8","8以上"))))))</f>
        <v/>
      </c>
    </row>
    <row r="50" customFormat="false" ht="30" hidden="false" customHeight="true" outlineLevel="0" collapsed="false">
      <c r="A50" s="35"/>
      <c r="B50" s="36"/>
      <c r="C50" s="37"/>
      <c r="D50" s="38" t="str">
        <f aca="false">IF(OR(B50="",C50=""),"",ROUND((IF(C50&lt;1,INT(B50)+C50,C50)-B50)*1440,0)/1440)</f>
        <v/>
      </c>
      <c r="E50" s="39" t="str">
        <f aca="false">IF(D50="","",IF(D50&lt;0,"打日期",IF(D50*1440&lt;=120,"J+2",IF(D50*1440&lt;=240,"J+4",IF(D50*1440&lt;=360,"J+6",IF(D50*1440&lt;=480,"J+8","8以上"))))))</f>
        <v/>
      </c>
    </row>
    <row r="51" customFormat="false" ht="30" hidden="false" customHeight="true" outlineLevel="0" collapsed="false">
      <c r="A51" s="35"/>
      <c r="B51" s="36"/>
      <c r="C51" s="37"/>
      <c r="D51" s="38" t="str">
        <f aca="false">IF(OR(B51="",C51=""),"",ROUND((IF(C51&lt;1,INT(B51)+C51,C51)-B51)*1440,0)/1440)</f>
        <v/>
      </c>
      <c r="E51" s="39" t="str">
        <f aca="false">IF(D51="","",IF(D51&lt;0,"打日期",IF(D51*1440&lt;=120,"J+2",IF(D51*1440&lt;=240,"J+4",IF(D51*1440&lt;=360,"J+6",IF(D51*1440&lt;=480,"J+8","8以上"))))))</f>
        <v/>
      </c>
    </row>
    <row r="52" customFormat="false" ht="30" hidden="false" customHeight="true" outlineLevel="0" collapsed="false">
      <c r="A52" s="35"/>
      <c r="B52" s="36"/>
      <c r="C52" s="37"/>
      <c r="D52" s="38" t="str">
        <f aca="false">IF(OR(B52="",C52=""),"",ROUND((IF(C52&lt;1,INT(B52)+C52,C52)-B52)*1440,0)/1440)</f>
        <v/>
      </c>
      <c r="E52" s="39" t="str">
        <f aca="false">IF(D52="","",IF(D52&lt;0,"打日期",IF(D52*1440&lt;=120,"J+2",IF(D52*1440&lt;=240,"J+4",IF(D52*1440&lt;=360,"J+6",IF(D52*1440&lt;=480,"J+8","8以上"))))))</f>
        <v/>
      </c>
    </row>
    <row r="53" customFormat="false" ht="30" hidden="false" customHeight="true" outlineLevel="0" collapsed="false">
      <c r="A53" s="35"/>
      <c r="B53" s="36"/>
      <c r="C53" s="37"/>
      <c r="D53" s="38" t="str">
        <f aca="false">IF(OR(B53="",C53=""),"",ROUND((IF(C53&lt;1,INT(B53)+C53,C53)-B53)*1440,0)/1440)</f>
        <v/>
      </c>
      <c r="E53" s="39" t="str">
        <f aca="false">IF(D53="","",IF(D53&lt;0,"打日期",IF(D53*1440&lt;=120,"J+2",IF(D53*1440&lt;=240,"J+4",IF(D53*1440&lt;=360,"J+6",IF(D53*1440&lt;=480,"J+8","8以上"))))))</f>
        <v/>
      </c>
    </row>
    <row r="54" customFormat="false" ht="30" hidden="false" customHeight="true" outlineLevel="0" collapsed="false">
      <c r="A54" s="35"/>
      <c r="B54" s="36"/>
      <c r="C54" s="37"/>
      <c r="D54" s="38" t="str">
        <f aca="false">IF(OR(B54="",C54=""),"",ROUND((IF(C54&lt;1,INT(B54)+C54,C54)-B54)*1440,0)/1440)</f>
        <v/>
      </c>
      <c r="E54" s="39" t="str">
        <f aca="false">IF(D54="","",IF(D54&lt;0,"打日期",IF(D54*1440&lt;=120,"J+2",IF(D54*1440&lt;=240,"J+4",IF(D54*1440&lt;=360,"J+6",IF(D54*1440&lt;=480,"J+8","8以上"))))))</f>
        <v/>
      </c>
    </row>
    <row r="55" customFormat="false" ht="30" hidden="false" customHeight="true" outlineLevel="0" collapsed="false">
      <c r="A55" s="35"/>
      <c r="B55" s="36"/>
      <c r="C55" s="37"/>
      <c r="D55" s="38" t="str">
        <f aca="false">IF(OR(B55="",C55=""),"",ROUND((IF(C55&lt;1,INT(B55)+C55,C55)-B55)*1440,0)/1440)</f>
        <v/>
      </c>
      <c r="E55" s="39" t="str">
        <f aca="false">IF(D55="","",IF(D55&lt;0,"打日期",IF(D55*1440&lt;=120,"J+2",IF(D55*1440&lt;=240,"J+4",IF(D55*1440&lt;=360,"J+6",IF(D55*1440&lt;=480,"J+8","8以上"))))))</f>
        <v/>
      </c>
    </row>
    <row r="56" customFormat="false" ht="30" hidden="false" customHeight="true" outlineLevel="0" collapsed="false">
      <c r="A56" s="35"/>
      <c r="B56" s="36"/>
      <c r="C56" s="37"/>
      <c r="D56" s="38" t="str">
        <f aca="false">IF(OR(B56="",C56=""),"",ROUND((IF(C56&lt;1,INT(B56)+C56,C56)-B56)*1440,0)/1440)</f>
        <v/>
      </c>
      <c r="E56" s="39" t="str">
        <f aca="false">IF(D56="","",IF(D56&lt;0,"打日期",IF(D56*1440&lt;=120,"J+2",IF(D56*1440&lt;=240,"J+4",IF(D56*1440&lt;=360,"J+6",IF(D56*1440&lt;=480,"J+8","8以上"))))))</f>
        <v/>
      </c>
    </row>
    <row r="57" customFormat="false" ht="30" hidden="false" customHeight="true" outlineLevel="0" collapsed="false">
      <c r="A57" s="35"/>
      <c r="B57" s="36"/>
      <c r="C57" s="37"/>
      <c r="D57" s="38" t="str">
        <f aca="false">IF(OR(B57="",C57=""),"",ROUND((IF(C57&lt;1,INT(B57)+C57,C57)-B57)*1440,0)/1440)</f>
        <v/>
      </c>
      <c r="E57" s="39" t="str">
        <f aca="false">IF(D57="","",IF(D57&lt;0,"打日期",IF(D57*1440&lt;=120,"J+2",IF(D57*1440&lt;=240,"J+4",IF(D57*1440&lt;=360,"J+6",IF(D57*1440&lt;=480,"J+8","8以上"))))))</f>
        <v/>
      </c>
    </row>
    <row r="58" customFormat="false" ht="75" hidden="false" customHeight="true" outlineLevel="0" collapsed="false">
      <c r="A58" s="40" t="s">
        <v>37</v>
      </c>
      <c r="B58" s="40"/>
      <c r="C58" s="40"/>
      <c r="D58" s="40"/>
      <c r="E58" s="40"/>
    </row>
    <row r="60" customFormat="false" ht="21" hidden="false" customHeight="true" outlineLevel="0" collapsed="false">
      <c r="A60" s="41" t="s">
        <v>35</v>
      </c>
      <c r="C60" s="41" t="s">
        <v>28</v>
      </c>
    </row>
    <row r="61" customFormat="false" ht="39.75" hidden="false" customHeight="true" outlineLevel="0" collapsed="false">
      <c r="A61" s="33" t="str">
        <f aca="false">"中和郵務股"&amp;'05'!$G$2&amp;'05'!$H$2&amp;"份 轉口 快捷郵遞時效表"</f>
        <v>中和郵務股115年5月份 轉口 快捷郵遞時效表</v>
      </c>
      <c r="B61" s="33"/>
      <c r="C61" s="33"/>
      <c r="D61" s="33"/>
      <c r="E61" s="33"/>
    </row>
    <row r="62" customFormat="false" ht="30" hidden="false" customHeight="true" outlineLevel="0" collapsed="false">
      <c r="A62" s="34" t="s">
        <v>29</v>
      </c>
      <c r="B62" s="34" t="s">
        <v>30</v>
      </c>
      <c r="C62" s="34" t="s">
        <v>31</v>
      </c>
      <c r="D62" s="34" t="s">
        <v>32</v>
      </c>
      <c r="E62" s="34" t="s">
        <v>33</v>
      </c>
    </row>
    <row r="63" customFormat="false" ht="30" hidden="false" customHeight="true" outlineLevel="0" collapsed="false">
      <c r="A63" s="35"/>
      <c r="B63" s="36"/>
      <c r="C63" s="37"/>
      <c r="D63" s="38" t="str">
        <f aca="false">IF(OR(B63="",C63=""),"",ROUND((IF(C63&lt;1,INT(B63)+C63,C63)-B63)*1440,0)/1440)</f>
        <v/>
      </c>
      <c r="E63" s="39" t="str">
        <f aca="false">IF(D63="","",IF(D63&lt;0,"打日期",IF(D63*1440&lt;=120,"J+2",IF(D63*1440&lt;=240,"J+4",IF(D63*1440&lt;=360,"J+6",IF(D63*1440&lt;=480,"J+8","8以上"))))))</f>
        <v/>
      </c>
    </row>
    <row r="64" customFormat="false" ht="30" hidden="false" customHeight="true" outlineLevel="0" collapsed="false">
      <c r="A64" s="35"/>
      <c r="B64" s="36"/>
      <c r="C64" s="37"/>
      <c r="D64" s="38" t="str">
        <f aca="false">IF(OR(B64="",C64=""),"",ROUND((IF(C64&lt;1,INT(B64)+C64,C64)-B64)*1440,0)/1440)</f>
        <v/>
      </c>
      <c r="E64" s="39" t="str">
        <f aca="false">IF(D64="","",IF(D64&lt;0,"打日期",IF(D64*1440&lt;=120,"J+2",IF(D64*1440&lt;=240,"J+4",IF(D64*1440&lt;=360,"J+6",IF(D64*1440&lt;=480,"J+8","8以上"))))))</f>
        <v/>
      </c>
    </row>
    <row r="65" customFormat="false" ht="30" hidden="false" customHeight="true" outlineLevel="0" collapsed="false">
      <c r="A65" s="35"/>
      <c r="B65" s="36"/>
      <c r="C65" s="37"/>
      <c r="D65" s="38" t="str">
        <f aca="false">IF(OR(B65="",C65=""),"",ROUND((IF(C65&lt;1,INT(B65)+C65,C65)-B65)*1440,0)/1440)</f>
        <v/>
      </c>
      <c r="E65" s="39" t="str">
        <f aca="false">IF(D65="","",IF(D65&lt;0,"打日期",IF(D65*1440&lt;=120,"J+2",IF(D65*1440&lt;=240,"J+4",IF(D65*1440&lt;=360,"J+6",IF(D65*1440&lt;=480,"J+8","8以上"))))))</f>
        <v/>
      </c>
    </row>
    <row r="66" customFormat="false" ht="30" hidden="false" customHeight="true" outlineLevel="0" collapsed="false">
      <c r="A66" s="35"/>
      <c r="B66" s="36"/>
      <c r="C66" s="37"/>
      <c r="D66" s="38" t="str">
        <f aca="false">IF(OR(B66="",C66=""),"",ROUND((IF(C66&lt;1,INT(B66)+C66,C66)-B66)*1440,0)/1440)</f>
        <v/>
      </c>
      <c r="E66" s="39" t="str">
        <f aca="false">IF(D66="","",IF(D66&lt;0,"打日期",IF(D66*1440&lt;=120,"J+2",IF(D66*1440&lt;=240,"J+4",IF(D66*1440&lt;=360,"J+6",IF(D66*1440&lt;=480,"J+8","8以上"))))))</f>
        <v/>
      </c>
    </row>
    <row r="67" customFormat="false" ht="30" hidden="false" customHeight="true" outlineLevel="0" collapsed="false">
      <c r="A67" s="35"/>
      <c r="B67" s="36"/>
      <c r="C67" s="37"/>
      <c r="D67" s="38" t="str">
        <f aca="false">IF(OR(B67="",C67=""),"",ROUND((IF(C67&lt;1,INT(B67)+C67,C67)-B67)*1440,0)/1440)</f>
        <v/>
      </c>
      <c r="E67" s="39" t="str">
        <f aca="false">IF(D67="","",IF(D67&lt;0,"打日期",IF(D67*1440&lt;=120,"J+2",IF(D67*1440&lt;=240,"J+4",IF(D67*1440&lt;=360,"J+6",IF(D67*1440&lt;=480,"J+8","8以上"))))))</f>
        <v/>
      </c>
    </row>
    <row r="68" customFormat="false" ht="30" hidden="false" customHeight="true" outlineLevel="0" collapsed="false">
      <c r="A68" s="35"/>
      <c r="B68" s="36"/>
      <c r="C68" s="37"/>
      <c r="D68" s="38" t="str">
        <f aca="false">IF(OR(B68="",C68=""),"",ROUND((IF(C68&lt;1,INT(B68)+C68,C68)-B68)*1440,0)/1440)</f>
        <v/>
      </c>
      <c r="E68" s="39" t="str">
        <f aca="false">IF(D68="","",IF(D68&lt;0,"打日期",IF(D68*1440&lt;=120,"J+2",IF(D68*1440&lt;=240,"J+4",IF(D68*1440&lt;=360,"J+6",IF(D68*1440&lt;=480,"J+8","8以上"))))))</f>
        <v/>
      </c>
    </row>
    <row r="69" customFormat="false" ht="30" hidden="false" customHeight="true" outlineLevel="0" collapsed="false">
      <c r="A69" s="35"/>
      <c r="B69" s="36"/>
      <c r="C69" s="37"/>
      <c r="D69" s="38" t="str">
        <f aca="false">IF(OR(B69="",C69=""),"",ROUND((IF(C69&lt;1,INT(B69)+C69,C69)-B69)*1440,0)/1440)</f>
        <v/>
      </c>
      <c r="E69" s="39" t="str">
        <f aca="false">IF(D69="","",IF(D69&lt;0,"打日期",IF(D69*1440&lt;=120,"J+2",IF(D69*1440&lt;=240,"J+4",IF(D69*1440&lt;=360,"J+6",IF(D69*1440&lt;=480,"J+8","8以上"))))))</f>
        <v/>
      </c>
    </row>
    <row r="70" customFormat="false" ht="30" hidden="false" customHeight="true" outlineLevel="0" collapsed="false">
      <c r="A70" s="35"/>
      <c r="B70" s="36"/>
      <c r="C70" s="37"/>
      <c r="D70" s="38" t="str">
        <f aca="false">IF(OR(B70="",C70=""),"",ROUND((IF(C70&lt;1,INT(B70)+C70,C70)-B70)*1440,0)/1440)</f>
        <v/>
      </c>
      <c r="E70" s="39" t="str">
        <f aca="false">IF(D70="","",IF(D70&lt;0,"打日期",IF(D70*1440&lt;=120,"J+2",IF(D70*1440&lt;=240,"J+4",IF(D70*1440&lt;=360,"J+6",IF(D70*1440&lt;=480,"J+8","8以上"))))))</f>
        <v/>
      </c>
    </row>
    <row r="71" customFormat="false" ht="30" hidden="false" customHeight="true" outlineLevel="0" collapsed="false">
      <c r="A71" s="35"/>
      <c r="B71" s="36"/>
      <c r="C71" s="37"/>
      <c r="D71" s="38" t="str">
        <f aca="false">IF(OR(B71="",C71=""),"",ROUND((IF(C71&lt;1,INT(B71)+C71,C71)-B71)*1440,0)/1440)</f>
        <v/>
      </c>
      <c r="E71" s="39" t="str">
        <f aca="false">IF(D71="","",IF(D71&lt;0,"打日期",IF(D71*1440&lt;=120,"J+2",IF(D71*1440&lt;=240,"J+4",IF(D71*1440&lt;=360,"J+6",IF(D71*1440&lt;=480,"J+8","8以上"))))))</f>
        <v/>
      </c>
    </row>
    <row r="72" customFormat="false" ht="30" hidden="false" customHeight="true" outlineLevel="0" collapsed="false">
      <c r="A72" s="35"/>
      <c r="B72" s="36"/>
      <c r="C72" s="37"/>
      <c r="D72" s="38" t="str">
        <f aca="false">IF(OR(B72="",C72=""),"",ROUND((IF(C72&lt;1,INT(B72)+C72,C72)-B72)*1440,0)/1440)</f>
        <v/>
      </c>
      <c r="E72" s="39" t="str">
        <f aca="false">IF(D72="","",IF(D72&lt;0,"打日期",IF(D72*1440&lt;=120,"J+2",IF(D72*1440&lt;=240,"J+4",IF(D72*1440&lt;=360,"J+6",IF(D72*1440&lt;=480,"J+8","8以上"))))))</f>
        <v/>
      </c>
    </row>
    <row r="73" customFormat="false" ht="30" hidden="false" customHeight="true" outlineLevel="0" collapsed="false">
      <c r="A73" s="35"/>
      <c r="B73" s="36"/>
      <c r="C73" s="37"/>
      <c r="D73" s="38" t="str">
        <f aca="false">IF(OR(B73="",C73=""),"",ROUND((IF(C73&lt;1,INT(B73)+C73,C73)-B73)*1440,0)/1440)</f>
        <v/>
      </c>
      <c r="E73" s="39" t="str">
        <f aca="false">IF(D73="","",IF(D73&lt;0,"打日期",IF(D73*1440&lt;=120,"J+2",IF(D73*1440&lt;=240,"J+4",IF(D73*1440&lt;=360,"J+6",IF(D73*1440&lt;=480,"J+8","8以上"))))))</f>
        <v/>
      </c>
    </row>
    <row r="74" customFormat="false" ht="30" hidden="false" customHeight="true" outlineLevel="0" collapsed="false">
      <c r="A74" s="35"/>
      <c r="B74" s="36"/>
      <c r="C74" s="37"/>
      <c r="D74" s="38" t="str">
        <f aca="false">IF(OR(B74="",C74=""),"",ROUND((IF(C74&lt;1,INT(B74)+C74,C74)-B74)*1440,0)/1440)</f>
        <v/>
      </c>
      <c r="E74" s="39" t="str">
        <f aca="false">IF(D74="","",IF(D74&lt;0,"打日期",IF(D74*1440&lt;=120,"J+2",IF(D74*1440&lt;=240,"J+4",IF(D74*1440&lt;=360,"J+6",IF(D74*1440&lt;=480,"J+8","8以上"))))))</f>
        <v/>
      </c>
    </row>
    <row r="75" customFormat="false" ht="30" hidden="false" customHeight="true" outlineLevel="0" collapsed="false">
      <c r="A75" s="35"/>
      <c r="B75" s="36"/>
      <c r="C75" s="37"/>
      <c r="D75" s="38" t="str">
        <f aca="false">IF(OR(B75="",C75=""),"",ROUND((IF(C75&lt;1,INT(B75)+C75,C75)-B75)*1440,0)/1440)</f>
        <v/>
      </c>
      <c r="E75" s="39" t="str">
        <f aca="false">IF(D75="","",IF(D75&lt;0,"打日期",IF(D75*1440&lt;=120,"J+2",IF(D75*1440&lt;=240,"J+4",IF(D75*1440&lt;=360,"J+6",IF(D75*1440&lt;=480,"J+8","8以上"))))))</f>
        <v/>
      </c>
    </row>
    <row r="76" customFormat="false" ht="30" hidden="false" customHeight="true" outlineLevel="0" collapsed="false">
      <c r="A76" s="35"/>
      <c r="B76" s="36"/>
      <c r="C76" s="37"/>
      <c r="D76" s="38" t="str">
        <f aca="false">IF(OR(B76="",C76=""),"",ROUND((IF(C76&lt;1,INT(B76)+C76,C76)-B76)*1440,0)/1440)</f>
        <v/>
      </c>
      <c r="E76" s="39" t="str">
        <f aca="false">IF(D76="","",IF(D76&lt;0,"打日期",IF(D76*1440&lt;=120,"J+2",IF(D76*1440&lt;=240,"J+4",IF(D76*1440&lt;=360,"J+6",IF(D76*1440&lt;=480,"J+8","8以上"))))))</f>
        <v/>
      </c>
    </row>
    <row r="77" customFormat="false" ht="30" hidden="false" customHeight="true" outlineLevel="0" collapsed="false">
      <c r="A77" s="35"/>
      <c r="B77" s="36"/>
      <c r="C77" s="37"/>
      <c r="D77" s="38" t="str">
        <f aca="false">IF(OR(B77="",C77=""),"",ROUND((IF(C77&lt;1,INT(B77)+C77,C77)-B77)*1440,0)/1440)</f>
        <v/>
      </c>
      <c r="E77" s="39" t="str">
        <f aca="false">IF(D77="","",IF(D77&lt;0,"打日期",IF(D77*1440&lt;=120,"J+2",IF(D77*1440&lt;=240,"J+4",IF(D77*1440&lt;=360,"J+6",IF(D77*1440&lt;=480,"J+8","8以上"))))))</f>
        <v/>
      </c>
    </row>
    <row r="78" customFormat="false" ht="75" hidden="false" customHeight="true" outlineLevel="0" collapsed="false">
      <c r="A78" s="40" t="s">
        <v>38</v>
      </c>
      <c r="B78" s="40"/>
      <c r="C78" s="40"/>
      <c r="D78" s="40"/>
      <c r="E78" s="40"/>
    </row>
    <row r="80" customFormat="false" ht="21" hidden="false" customHeight="true" outlineLevel="0" collapsed="false">
      <c r="A80" s="41" t="s">
        <v>35</v>
      </c>
      <c r="C80" s="41" t="s">
        <v>28</v>
      </c>
    </row>
  </sheetData>
  <mergeCells count="8">
    <mergeCell ref="A1:E1"/>
    <mergeCell ref="A18:E18"/>
    <mergeCell ref="A21:E21"/>
    <mergeCell ref="A38:E38"/>
    <mergeCell ref="A41:E41"/>
    <mergeCell ref="A58:E58"/>
    <mergeCell ref="A61:E61"/>
    <mergeCell ref="A78:E78"/>
  </mergeCells>
  <printOptions headings="false" gridLines="false" gridLinesSet="true" horizontalCentered="true" verticalCentered="false"/>
  <pageMargins left="0.5" right="0.5" top="0.5" bottom="0.5" header="0.511811023622047" footer="0.511811023622047"/>
  <pageSetup paperSize="9" scale="9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3" manualBreakCount="3">
    <brk id="20" man="true" max="16383" min="0"/>
    <brk id="40" man="true" max="16383" min="0"/>
    <brk id="60" man="true" max="16383" min="0"/>
  </row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true"/>
  </sheetPr>
  <dimension ref="A1:O1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10" activeCellId="0" sqref="B10"/>
    </sheetView>
  </sheetViews>
  <sheetFormatPr defaultColWidth="8.87890625" defaultRowHeight="16.5" zeroHeight="false" outlineLevelRow="0" outlineLevelCol="0"/>
  <cols>
    <col collapsed="false" customWidth="true" hidden="false" outlineLevel="0" max="1" min="1" style="1" width="2.75"/>
    <col collapsed="false" customWidth="true" hidden="false" outlineLevel="0" max="2" min="2" style="1" width="21.5"/>
    <col collapsed="false" customWidth="true" hidden="false" outlineLevel="0" max="15" min="3" style="1" width="11"/>
    <col collapsed="false" customWidth="false" hidden="false" outlineLevel="0" max="16384" min="16" style="1" width="8.88"/>
  </cols>
  <sheetData>
    <row r="1" customFormat="false" ht="43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43.5" hidden="false" customHeight="true" outlineLevel="0" collapsed="false">
      <c r="A2" s="3"/>
      <c r="F2" s="4"/>
      <c r="G2" s="5" t="str">
        <f aca="false">'01'!G2</f>
        <v>115年</v>
      </c>
      <c r="H2" s="6" t="s">
        <v>43</v>
      </c>
      <c r="I2" s="4"/>
    </row>
    <row r="3" customFormat="false" ht="48.75" hidden="false" customHeight="true" outlineLevel="0" collapsed="false">
      <c r="A3" s="7" t="s">
        <v>3</v>
      </c>
      <c r="B3" s="7"/>
      <c r="C3" s="8" t="s">
        <v>4</v>
      </c>
      <c r="D3" s="9" t="s">
        <v>5</v>
      </c>
      <c r="E3" s="10" t="s">
        <v>6</v>
      </c>
      <c r="F3" s="9" t="s">
        <v>7</v>
      </c>
      <c r="G3" s="10" t="s">
        <v>8</v>
      </c>
      <c r="H3" s="9" t="s">
        <v>9</v>
      </c>
      <c r="I3" s="10" t="s">
        <v>10</v>
      </c>
      <c r="J3" s="9" t="s">
        <v>11</v>
      </c>
      <c r="K3" s="10" t="s">
        <v>12</v>
      </c>
      <c r="L3" s="9" t="s">
        <v>13</v>
      </c>
      <c r="M3" s="10" t="s">
        <v>14</v>
      </c>
      <c r="N3" s="11" t="s">
        <v>15</v>
      </c>
      <c r="O3" s="8" t="s">
        <v>16</v>
      </c>
    </row>
    <row r="4" customFormat="false" ht="50.25" hidden="false" customHeight="true" outlineLevel="0" collapsed="false">
      <c r="A4" s="12" t="s">
        <v>17</v>
      </c>
      <c r="B4" s="12"/>
      <c r="C4" s="13" t="n">
        <f aca="false">D4+F4+H4+J4+L4</f>
        <v>0</v>
      </c>
      <c r="D4" s="14" t="n">
        <f aca="false">COUNTIF(06子本!$E$3:$E$17,"J+2")</f>
        <v>0</v>
      </c>
      <c r="E4" s="15" t="str">
        <f aca="false">IF($C4=0,"",D4/$C4)</f>
        <v/>
      </c>
      <c r="F4" s="14" t="n">
        <f aca="false">COUNTIF(06子本!$E$3:$E$17,"J+4")</f>
        <v>0</v>
      </c>
      <c r="G4" s="15" t="str">
        <f aca="false">IF($C4=0,"",F4/$C4)</f>
        <v/>
      </c>
      <c r="H4" s="14" t="n">
        <f aca="false">COUNTIF(06子本!$E$3:$E$17,"J+6")</f>
        <v>0</v>
      </c>
      <c r="I4" s="15" t="str">
        <f aca="false">IF($C4=0,"",H4/$C4)</f>
        <v/>
      </c>
      <c r="J4" s="14" t="n">
        <f aca="false">COUNTIF(06子本!$E$3:$E$17,"J+8")</f>
        <v>0</v>
      </c>
      <c r="K4" s="15" t="str">
        <f aca="false">IF($C4=0,"",J4/$C4)</f>
        <v/>
      </c>
      <c r="L4" s="14" t="n">
        <f aca="false">COUNTIF(06子本!$E$3:$E$17,"8以上")</f>
        <v>0</v>
      </c>
      <c r="M4" s="15" t="str">
        <f aca="false">IF($C4=0,"",L4/$C4)</f>
        <v/>
      </c>
      <c r="N4" s="16" t="n">
        <v>1</v>
      </c>
      <c r="O4" s="17" t="str">
        <f aca="false">IF($C4=0,"",(D4*2+F4*4+H4*6+J4*8+L4*8)/$C4)</f>
        <v/>
      </c>
    </row>
    <row r="5" customFormat="false" ht="50.25" hidden="false" customHeight="true" outlineLevel="0" collapsed="false">
      <c r="A5" s="12" t="s">
        <v>18</v>
      </c>
      <c r="B5" s="12"/>
      <c r="C5" s="13" t="n">
        <f aca="false">D5+F5+H5+J5+L5</f>
        <v>0</v>
      </c>
      <c r="D5" s="14" t="n">
        <f aca="false">COUNTIF(06子本!$E$23:$E$37,"J+2")</f>
        <v>0</v>
      </c>
      <c r="E5" s="15" t="str">
        <f aca="false">IF($C5=0,"",D5/$C5)</f>
        <v/>
      </c>
      <c r="F5" s="14" t="n">
        <f aca="false">COUNTIF(06子本!$E$23:$E$37,"J+4")</f>
        <v>0</v>
      </c>
      <c r="G5" s="15" t="str">
        <f aca="false">IF($C5=0,"",F5/$C5)</f>
        <v/>
      </c>
      <c r="H5" s="14" t="n">
        <f aca="false">COUNTIF(06子本!$E$23:$E$37,"J+6")</f>
        <v>0</v>
      </c>
      <c r="I5" s="15" t="str">
        <f aca="false">IF($C5=0,"",H5/$C5)</f>
        <v/>
      </c>
      <c r="J5" s="14" t="n">
        <f aca="false">COUNTIF(06子本!$E$23:$E$37,"J+8")</f>
        <v>0</v>
      </c>
      <c r="K5" s="15" t="str">
        <f aca="false">IF($C5=0,"",J5/$C5)</f>
        <v/>
      </c>
      <c r="L5" s="14" t="n">
        <f aca="false">COUNTIF(06子本!$E$23:$E$37,"8以上")</f>
        <v>0</v>
      </c>
      <c r="M5" s="15" t="str">
        <f aca="false">IF($C5=0,"",L5/$C5)</f>
        <v/>
      </c>
      <c r="N5" s="16" t="n">
        <v>1</v>
      </c>
      <c r="O5" s="17" t="str">
        <f aca="false">IF($C5=0,"",(D5*2+F5*4+H5*6+J5*8+L5*8)/$C5)</f>
        <v/>
      </c>
    </row>
    <row r="6" customFormat="false" ht="54.75" hidden="false" customHeight="true" outlineLevel="0" collapsed="false">
      <c r="A6" s="18" t="s">
        <v>19</v>
      </c>
      <c r="B6" s="18"/>
      <c r="C6" s="13" t="n">
        <f aca="false">D6+F6+H6+J6+L6</f>
        <v>0</v>
      </c>
      <c r="D6" s="14" t="n">
        <f aca="false">COUNTIF(06子本!$E$43:$E$57,"J+2")</f>
        <v>0</v>
      </c>
      <c r="E6" s="15" t="str">
        <f aca="false">IF($C6=0,"",D6/$C6)</f>
        <v/>
      </c>
      <c r="F6" s="14" t="n">
        <f aca="false">COUNTIF(06子本!$E$43:$E$57,"J+4")</f>
        <v>0</v>
      </c>
      <c r="G6" s="15" t="str">
        <f aca="false">IF($C6=0,"",F6/$C6)</f>
        <v/>
      </c>
      <c r="H6" s="14" t="n">
        <f aca="false">COUNTIF(06子本!$E$43:$E$57,"J+6")</f>
        <v>0</v>
      </c>
      <c r="I6" s="15" t="str">
        <f aca="false">IF($C6=0,"",H6/$C6)</f>
        <v/>
      </c>
      <c r="J6" s="14" t="n">
        <f aca="false">COUNTIF(06子本!$E$43:$E$57,"J+8")</f>
        <v>0</v>
      </c>
      <c r="K6" s="15" t="str">
        <f aca="false">IF($C6=0,"",J6/$C6)</f>
        <v/>
      </c>
      <c r="L6" s="14" t="n">
        <f aca="false">COUNTIF(06子本!$E$43:$E$57,"8以上")</f>
        <v>0</v>
      </c>
      <c r="M6" s="15" t="str">
        <f aca="false">IF($C6=0,"",L6/$C6)</f>
        <v/>
      </c>
      <c r="N6" s="16" t="n">
        <v>1</v>
      </c>
      <c r="O6" s="17" t="str">
        <f aca="false">IF($C6=0,"",(D6*2+F6*4+H6*6+J6*8+L6*8)/$C6)</f>
        <v/>
      </c>
    </row>
    <row r="7" customFormat="false" ht="50.25" hidden="false" customHeight="true" outlineLevel="0" collapsed="false">
      <c r="A7" s="19" t="s">
        <v>20</v>
      </c>
      <c r="B7" s="19"/>
      <c r="C7" s="13" t="n">
        <f aca="false">D7+F7+H7+J7+L7</f>
        <v>0</v>
      </c>
      <c r="D7" s="14" t="n">
        <f aca="false">COUNTIF(06子本!$E$63:$E$77,"J+2")</f>
        <v>0</v>
      </c>
      <c r="E7" s="15" t="str">
        <f aca="false">IF($C7=0,"",D7/$C7)</f>
        <v/>
      </c>
      <c r="F7" s="14" t="n">
        <f aca="false">COUNTIF(06子本!$E$63:$E$77,"J+4")</f>
        <v>0</v>
      </c>
      <c r="G7" s="15" t="str">
        <f aca="false">IF($C7=0,"",F7/$C7)</f>
        <v/>
      </c>
      <c r="H7" s="14" t="n">
        <f aca="false">COUNTIF(06子本!$E$63:$E$77,"J+6")</f>
        <v>0</v>
      </c>
      <c r="I7" s="15" t="str">
        <f aca="false">IF($C7=0,"",H7/$C7)</f>
        <v/>
      </c>
      <c r="J7" s="14" t="n">
        <f aca="false">COUNTIF(06子本!$E$63:$E$77,"J+8")</f>
        <v>0</v>
      </c>
      <c r="K7" s="15" t="str">
        <f aca="false">IF($C7=0,"",J7/$C7)</f>
        <v/>
      </c>
      <c r="L7" s="14" t="n">
        <f aca="false">COUNTIF(06子本!$E$63:$E$77,"8以上")</f>
        <v>0</v>
      </c>
      <c r="M7" s="15" t="str">
        <f aca="false">IF($C7=0,"",L7/$C7)</f>
        <v/>
      </c>
      <c r="N7" s="20" t="n">
        <v>1</v>
      </c>
      <c r="O7" s="17" t="str">
        <f aca="false">IF($C7=0,"",(D7*2+F7*4+H7*6+J7*8+L7*8)/$C7)</f>
        <v/>
      </c>
    </row>
    <row r="8" customFormat="false" ht="21" hidden="false" customHeight="true" outlineLevel="0" collapsed="false">
      <c r="A8" s="21" t="s">
        <v>21</v>
      </c>
      <c r="B8" s="21"/>
      <c r="C8" s="22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</row>
    <row r="9" customFormat="false" ht="60.75" hidden="false" customHeight="true" outlineLevel="0" collapsed="false">
      <c r="A9" s="24" t="n">
        <v>1</v>
      </c>
      <c r="B9" s="25" t="s">
        <v>22</v>
      </c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</row>
    <row r="10" customFormat="false" ht="21" hidden="false" customHeight="true" outlineLevel="0" collapsed="false">
      <c r="A10" s="24" t="n">
        <v>2</v>
      </c>
      <c r="B10" s="26" t="s">
        <v>23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</row>
    <row r="11" customFormat="false" ht="39" hidden="false" customHeight="true" outlineLevel="0" collapsed="false">
      <c r="A11" s="24" t="n">
        <v>3</v>
      </c>
      <c r="B11" s="25" t="s">
        <v>24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customFormat="false" ht="39.75" hidden="false" customHeight="true" outlineLevel="0" collapsed="false">
      <c r="A12" s="24" t="n">
        <v>4</v>
      </c>
      <c r="B12" s="25" t="s">
        <v>25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</row>
    <row r="13" customFormat="false" ht="40.5" hidden="false" customHeight="true" outlineLevel="0" collapsed="false">
      <c r="A13" s="24" t="n">
        <v>5</v>
      </c>
      <c r="B13" s="25" t="s">
        <v>26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</row>
    <row r="14" customFormat="false" ht="21" hidden="false" customHeight="true" outlineLevel="0" collapsed="false">
      <c r="B14" s="27" t="s">
        <v>27</v>
      </c>
      <c r="C14" s="27"/>
      <c r="D14" s="28"/>
      <c r="E14" s="28"/>
      <c r="F14" s="29" t="s">
        <v>28</v>
      </c>
      <c r="G14" s="29"/>
      <c r="H14" s="30"/>
      <c r="I14" s="30"/>
      <c r="J14" s="31"/>
      <c r="K14" s="31"/>
      <c r="O14" s="28"/>
    </row>
  </sheetData>
  <mergeCells count="12">
    <mergeCell ref="A1:M1"/>
    <mergeCell ref="A3:B3"/>
    <mergeCell ref="A4:B4"/>
    <mergeCell ref="A5:B5"/>
    <mergeCell ref="A6:B6"/>
    <mergeCell ref="A7:B7"/>
    <mergeCell ref="A8:B8"/>
    <mergeCell ref="B9:O9"/>
    <mergeCell ref="B10:O10"/>
    <mergeCell ref="B11:O11"/>
    <mergeCell ref="B12:O12"/>
    <mergeCell ref="B13:O13"/>
  </mergeCells>
  <printOptions headings="false" gridLines="false" gridLinesSet="true" horizontalCentered="true" verticalCentered="true"/>
  <pageMargins left="0.157638888888889" right="0.551388888888889" top="0.196527777777778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E5CC"/>
    <pageSetUpPr fitToPage="false"/>
  </sheetPr>
  <dimension ref="A1:E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" defaultRowHeight="21" zeroHeight="false" outlineLevelRow="0" outlineLevelCol="0"/>
  <cols>
    <col collapsed="false" customWidth="true" hidden="false" outlineLevel="0" max="1" min="1" style="32" width="34.63"/>
    <col collapsed="false" customWidth="true" hidden="false" outlineLevel="0" max="3" min="2" style="32" width="17.63"/>
    <col collapsed="false" customWidth="true" hidden="false" outlineLevel="0" max="5" min="4" style="32" width="9.63"/>
    <col collapsed="false" customWidth="false" hidden="false" outlineLevel="0" max="16384" min="6" style="32" width="9"/>
  </cols>
  <sheetData>
    <row r="1" customFormat="false" ht="39.75" hidden="false" customHeight="true" outlineLevel="0" collapsed="false">
      <c r="A1" s="33" t="str">
        <f aca="false">"中和郵務股"&amp;'06'!$G$2&amp;'06'!$H$2&amp;"份 本口 快捷郵遞時效表"</f>
        <v>中和郵務股115年6月份 本口 快捷郵遞時效表</v>
      </c>
      <c r="B1" s="33"/>
      <c r="C1" s="33"/>
      <c r="D1" s="33"/>
      <c r="E1" s="33"/>
    </row>
    <row r="2" customFormat="false" ht="30" hidden="false" customHeight="true" outlineLevel="0" collapsed="false">
      <c r="A2" s="34" t="s">
        <v>29</v>
      </c>
      <c r="B2" s="34" t="s">
        <v>30</v>
      </c>
      <c r="C2" s="34" t="s">
        <v>31</v>
      </c>
      <c r="D2" s="34" t="s">
        <v>32</v>
      </c>
      <c r="E2" s="34" t="s">
        <v>33</v>
      </c>
    </row>
    <row r="3" customFormat="false" ht="30" hidden="false" customHeight="true" outlineLevel="0" collapsed="false">
      <c r="A3" s="35"/>
      <c r="B3" s="36"/>
      <c r="C3" s="37"/>
      <c r="D3" s="38" t="str">
        <f aca="false">IF(OR(B3="",C3=""),"",ROUND((IF(C3&lt;1,INT(B3)+C3,C3)-B3)*1440,0)/1440)</f>
        <v/>
      </c>
      <c r="E3" s="39" t="str">
        <f aca="false">IF(D3="","",IF(D3&lt;0,"打日期",IF(D3*1440&lt;=120,"J+2",IF(D3*1440&lt;=240,"J+4",IF(D3*1440&lt;=360,"J+6",IF(D3*1440&lt;=480,"J+8","8以上"))))))</f>
        <v/>
      </c>
    </row>
    <row r="4" customFormat="false" ht="30" hidden="false" customHeight="true" outlineLevel="0" collapsed="false">
      <c r="A4" s="35"/>
      <c r="B4" s="36"/>
      <c r="C4" s="37"/>
      <c r="D4" s="38" t="str">
        <f aca="false">IF(OR(B4="",C4=""),"",ROUND((IF(C4&lt;1,INT(B4)+C4,C4)-B4)*1440,0)/1440)</f>
        <v/>
      </c>
      <c r="E4" s="39" t="str">
        <f aca="false">IF(D4="","",IF(D4&lt;0,"打日期",IF(D4*1440&lt;=120,"J+2",IF(D4*1440&lt;=240,"J+4",IF(D4*1440&lt;=360,"J+6",IF(D4*1440&lt;=480,"J+8","8以上"))))))</f>
        <v/>
      </c>
    </row>
    <row r="5" customFormat="false" ht="30" hidden="false" customHeight="true" outlineLevel="0" collapsed="false">
      <c r="A5" s="35"/>
      <c r="B5" s="36"/>
      <c r="C5" s="37"/>
      <c r="D5" s="38" t="str">
        <f aca="false">IF(OR(B5="",C5=""),"",ROUND((IF(C5&lt;1,INT(B5)+C5,C5)-B5)*1440,0)/1440)</f>
        <v/>
      </c>
      <c r="E5" s="39" t="str">
        <f aca="false">IF(D5="","",IF(D5&lt;0,"打日期",IF(D5*1440&lt;=120,"J+2",IF(D5*1440&lt;=240,"J+4",IF(D5*1440&lt;=360,"J+6",IF(D5*1440&lt;=480,"J+8","8以上"))))))</f>
        <v/>
      </c>
    </row>
    <row r="6" customFormat="false" ht="30" hidden="false" customHeight="true" outlineLevel="0" collapsed="false">
      <c r="A6" s="35"/>
      <c r="B6" s="36"/>
      <c r="C6" s="37"/>
      <c r="D6" s="38" t="str">
        <f aca="false">IF(OR(B6="",C6=""),"",ROUND((IF(C6&lt;1,INT(B6)+C6,C6)-B6)*1440,0)/1440)</f>
        <v/>
      </c>
      <c r="E6" s="39" t="str">
        <f aca="false">IF(D6="","",IF(D6&lt;0,"打日期",IF(D6*1440&lt;=120,"J+2",IF(D6*1440&lt;=240,"J+4",IF(D6*1440&lt;=360,"J+6",IF(D6*1440&lt;=480,"J+8","8以上"))))))</f>
        <v/>
      </c>
    </row>
    <row r="7" customFormat="false" ht="30" hidden="false" customHeight="true" outlineLevel="0" collapsed="false">
      <c r="A7" s="35"/>
      <c r="B7" s="36"/>
      <c r="C7" s="37"/>
      <c r="D7" s="38" t="str">
        <f aca="false">IF(OR(B7="",C7=""),"",ROUND((IF(C7&lt;1,INT(B7)+C7,C7)-B7)*1440,0)/1440)</f>
        <v/>
      </c>
      <c r="E7" s="39" t="str">
        <f aca="false">IF(D7="","",IF(D7&lt;0,"打日期",IF(D7*1440&lt;=120,"J+2",IF(D7*1440&lt;=240,"J+4",IF(D7*1440&lt;=360,"J+6",IF(D7*1440&lt;=480,"J+8","8以上"))))))</f>
        <v/>
      </c>
    </row>
    <row r="8" customFormat="false" ht="30" hidden="false" customHeight="true" outlineLevel="0" collapsed="false">
      <c r="A8" s="35"/>
      <c r="B8" s="36"/>
      <c r="C8" s="37"/>
      <c r="D8" s="38" t="str">
        <f aca="false">IF(OR(B8="",C8=""),"",ROUND((IF(C8&lt;1,INT(B8)+C8,C8)-B8)*1440,0)/1440)</f>
        <v/>
      </c>
      <c r="E8" s="39" t="str">
        <f aca="false">IF(D8="","",IF(D8&lt;0,"打日期",IF(D8*1440&lt;=120,"J+2",IF(D8*1440&lt;=240,"J+4",IF(D8*1440&lt;=360,"J+6",IF(D8*1440&lt;=480,"J+8","8以上"))))))</f>
        <v/>
      </c>
    </row>
    <row r="9" customFormat="false" ht="30" hidden="false" customHeight="true" outlineLevel="0" collapsed="false">
      <c r="A9" s="35"/>
      <c r="B9" s="36"/>
      <c r="C9" s="37"/>
      <c r="D9" s="38" t="str">
        <f aca="false">IF(OR(B9="",C9=""),"",ROUND((IF(C9&lt;1,INT(B9)+C9,C9)-B9)*1440,0)/1440)</f>
        <v/>
      </c>
      <c r="E9" s="39" t="str">
        <f aca="false">IF(D9="","",IF(D9&lt;0,"打日期",IF(D9*1440&lt;=120,"J+2",IF(D9*1440&lt;=240,"J+4",IF(D9*1440&lt;=360,"J+6",IF(D9*1440&lt;=480,"J+8","8以上"))))))</f>
        <v/>
      </c>
    </row>
    <row r="10" customFormat="false" ht="30" hidden="false" customHeight="true" outlineLevel="0" collapsed="false">
      <c r="A10" s="35"/>
      <c r="B10" s="36"/>
      <c r="C10" s="37"/>
      <c r="D10" s="38" t="str">
        <f aca="false">IF(OR(B10="",C10=""),"",ROUND((IF(C10&lt;1,INT(B10)+C10,C10)-B10)*1440,0)/1440)</f>
        <v/>
      </c>
      <c r="E10" s="39" t="str">
        <f aca="false">IF(D10="","",IF(D10&lt;0,"打日期",IF(D10*1440&lt;=120,"J+2",IF(D10*1440&lt;=240,"J+4",IF(D10*1440&lt;=360,"J+6",IF(D10*1440&lt;=480,"J+8","8以上"))))))</f>
        <v/>
      </c>
    </row>
    <row r="11" customFormat="false" ht="30" hidden="false" customHeight="true" outlineLevel="0" collapsed="false">
      <c r="A11" s="35"/>
      <c r="B11" s="36"/>
      <c r="C11" s="37"/>
      <c r="D11" s="38" t="str">
        <f aca="false">IF(OR(B11="",C11=""),"",ROUND((IF(C11&lt;1,INT(B11)+C11,C11)-B11)*1440,0)/1440)</f>
        <v/>
      </c>
      <c r="E11" s="39" t="str">
        <f aca="false">IF(D11="","",IF(D11&lt;0,"打日期",IF(D11*1440&lt;=120,"J+2",IF(D11*1440&lt;=240,"J+4",IF(D11*1440&lt;=360,"J+6",IF(D11*1440&lt;=480,"J+8","8以上"))))))</f>
        <v/>
      </c>
    </row>
    <row r="12" customFormat="false" ht="30" hidden="false" customHeight="true" outlineLevel="0" collapsed="false">
      <c r="A12" s="35"/>
      <c r="B12" s="36"/>
      <c r="C12" s="37"/>
      <c r="D12" s="38" t="str">
        <f aca="false">IF(OR(B12="",C12=""),"",ROUND((IF(C12&lt;1,INT(B12)+C12,C12)-B12)*1440,0)/1440)</f>
        <v/>
      </c>
      <c r="E12" s="39" t="str">
        <f aca="false">IF(D12="","",IF(D12&lt;0,"打日期",IF(D12*1440&lt;=120,"J+2",IF(D12*1440&lt;=240,"J+4",IF(D12*1440&lt;=360,"J+6",IF(D12*1440&lt;=480,"J+8","8以上"))))))</f>
        <v/>
      </c>
    </row>
    <row r="13" customFormat="false" ht="30" hidden="false" customHeight="true" outlineLevel="0" collapsed="false">
      <c r="A13" s="35"/>
      <c r="B13" s="36"/>
      <c r="C13" s="37"/>
      <c r="D13" s="38" t="str">
        <f aca="false">IF(OR(B13="",C13=""),"",ROUND((IF(C13&lt;1,INT(B13)+C13,C13)-B13)*1440,0)/1440)</f>
        <v/>
      </c>
      <c r="E13" s="39" t="str">
        <f aca="false">IF(D13="","",IF(D13&lt;0,"打日期",IF(D13*1440&lt;=120,"J+2",IF(D13*1440&lt;=240,"J+4",IF(D13*1440&lt;=360,"J+6",IF(D13*1440&lt;=480,"J+8","8以上"))))))</f>
        <v/>
      </c>
    </row>
    <row r="14" customFormat="false" ht="30" hidden="false" customHeight="true" outlineLevel="0" collapsed="false">
      <c r="A14" s="35"/>
      <c r="B14" s="36"/>
      <c r="C14" s="37"/>
      <c r="D14" s="38" t="str">
        <f aca="false">IF(OR(B14="",C14=""),"",ROUND((IF(C14&lt;1,INT(B14)+C14,C14)-B14)*1440,0)/1440)</f>
        <v/>
      </c>
      <c r="E14" s="39" t="str">
        <f aca="false">IF(D14="","",IF(D14&lt;0,"打日期",IF(D14*1440&lt;=120,"J+2",IF(D14*1440&lt;=240,"J+4",IF(D14*1440&lt;=360,"J+6",IF(D14*1440&lt;=480,"J+8","8以上"))))))</f>
        <v/>
      </c>
    </row>
    <row r="15" customFormat="false" ht="30" hidden="false" customHeight="true" outlineLevel="0" collapsed="false">
      <c r="A15" s="35"/>
      <c r="B15" s="36"/>
      <c r="C15" s="37"/>
      <c r="D15" s="38" t="str">
        <f aca="false">IF(OR(B15="",C15=""),"",ROUND((IF(C15&lt;1,INT(B15)+C15,C15)-B15)*1440,0)/1440)</f>
        <v/>
      </c>
      <c r="E15" s="39" t="str">
        <f aca="false">IF(D15="","",IF(D15&lt;0,"打日期",IF(D15*1440&lt;=120,"J+2",IF(D15*1440&lt;=240,"J+4",IF(D15*1440&lt;=360,"J+6",IF(D15*1440&lt;=480,"J+8","8以上"))))))</f>
        <v/>
      </c>
    </row>
    <row r="16" customFormat="false" ht="30" hidden="false" customHeight="true" outlineLevel="0" collapsed="false">
      <c r="A16" s="35"/>
      <c r="B16" s="36"/>
      <c r="C16" s="37"/>
      <c r="D16" s="38" t="str">
        <f aca="false">IF(OR(B16="",C16=""),"",ROUND((IF(C16&lt;1,INT(B16)+C16,C16)-B16)*1440,0)/1440)</f>
        <v/>
      </c>
      <c r="E16" s="39" t="str">
        <f aca="false">IF(D16="","",IF(D16&lt;0,"打日期",IF(D16*1440&lt;=120,"J+2",IF(D16*1440&lt;=240,"J+4",IF(D16*1440&lt;=360,"J+6",IF(D16*1440&lt;=480,"J+8","8以上"))))))</f>
        <v/>
      </c>
    </row>
    <row r="17" customFormat="false" ht="30" hidden="false" customHeight="true" outlineLevel="0" collapsed="false">
      <c r="A17" s="35"/>
      <c r="B17" s="36"/>
      <c r="C17" s="37"/>
      <c r="D17" s="38" t="str">
        <f aca="false">IF(OR(B17="",C17=""),"",ROUND((IF(C17&lt;1,INT(B17)+C17,C17)-B17)*1440,0)/1440)</f>
        <v/>
      </c>
      <c r="E17" s="39" t="str">
        <f aca="false">IF(D17="","",IF(D17&lt;0,"打日期",IF(D17*1440&lt;=120,"J+2",IF(D17*1440&lt;=240,"J+4",IF(D17*1440&lt;=360,"J+6",IF(D17*1440&lt;=480,"J+8","8以上"))))))</f>
        <v/>
      </c>
    </row>
    <row r="18" customFormat="false" ht="75" hidden="false" customHeight="true" outlineLevel="0" collapsed="false">
      <c r="A18" s="40" t="s">
        <v>34</v>
      </c>
      <c r="B18" s="40"/>
      <c r="C18" s="40"/>
      <c r="D18" s="40"/>
      <c r="E18" s="40"/>
    </row>
    <row r="20" customFormat="false" ht="21" hidden="false" customHeight="true" outlineLevel="0" collapsed="false">
      <c r="A20" s="41" t="s">
        <v>35</v>
      </c>
      <c r="C20" s="41" t="s">
        <v>28</v>
      </c>
    </row>
    <row r="21" customFormat="false" ht="39.75" hidden="false" customHeight="true" outlineLevel="0" collapsed="false">
      <c r="A21" s="33" t="str">
        <f aca="false">"中和郵務股"&amp;'06'!$G$2&amp;'06'!$H$2&amp;"份 十大都會區 快捷郵遞時效表"</f>
        <v>中和郵務股115年6月份 十大都會區 快捷郵遞時效表</v>
      </c>
      <c r="B21" s="33"/>
      <c r="C21" s="33"/>
      <c r="D21" s="33"/>
      <c r="E21" s="33"/>
    </row>
    <row r="22" customFormat="false" ht="30" hidden="false" customHeight="true" outlineLevel="0" collapsed="false">
      <c r="A22" s="34" t="s">
        <v>29</v>
      </c>
      <c r="B22" s="34" t="s">
        <v>30</v>
      </c>
      <c r="C22" s="34" t="s">
        <v>31</v>
      </c>
      <c r="D22" s="34" t="s">
        <v>32</v>
      </c>
      <c r="E22" s="34" t="s">
        <v>33</v>
      </c>
    </row>
    <row r="23" customFormat="false" ht="30" hidden="false" customHeight="true" outlineLevel="0" collapsed="false">
      <c r="A23" s="35"/>
      <c r="B23" s="36"/>
      <c r="C23" s="37"/>
      <c r="D23" s="38" t="str">
        <f aca="false">IF(OR(B23="",C23=""),"",ROUND((IF(C23&lt;1,INT(B23)+C23,C23)-B23)*1440,0)/1440)</f>
        <v/>
      </c>
      <c r="E23" s="39" t="str">
        <f aca="false">IF(D23="","",IF(D23&lt;0,"打日期",IF(D23*1440&lt;=120,"J+2",IF(D23*1440&lt;=240,"J+4",IF(D23*1440&lt;=360,"J+6",IF(D23*1440&lt;=480,"J+8","8以上"))))))</f>
        <v/>
      </c>
    </row>
    <row r="24" customFormat="false" ht="30" hidden="false" customHeight="true" outlineLevel="0" collapsed="false">
      <c r="A24" s="35"/>
      <c r="B24" s="36"/>
      <c r="C24" s="37"/>
      <c r="D24" s="38" t="str">
        <f aca="false">IF(OR(B24="",C24=""),"",ROUND((IF(C24&lt;1,INT(B24)+C24,C24)-B24)*1440,0)/1440)</f>
        <v/>
      </c>
      <c r="E24" s="39" t="str">
        <f aca="false">IF(D24="","",IF(D24&lt;0,"打日期",IF(D24*1440&lt;=120,"J+2",IF(D24*1440&lt;=240,"J+4",IF(D24*1440&lt;=360,"J+6",IF(D24*1440&lt;=480,"J+8","8以上"))))))</f>
        <v/>
      </c>
    </row>
    <row r="25" customFormat="false" ht="30" hidden="false" customHeight="true" outlineLevel="0" collapsed="false">
      <c r="A25" s="35"/>
      <c r="B25" s="36"/>
      <c r="C25" s="37"/>
      <c r="D25" s="38" t="str">
        <f aca="false">IF(OR(B25="",C25=""),"",ROUND((IF(C25&lt;1,INT(B25)+C25,C25)-B25)*1440,0)/1440)</f>
        <v/>
      </c>
      <c r="E25" s="39" t="str">
        <f aca="false">IF(D25="","",IF(D25&lt;0,"打日期",IF(D25*1440&lt;=120,"J+2",IF(D25*1440&lt;=240,"J+4",IF(D25*1440&lt;=360,"J+6",IF(D25*1440&lt;=480,"J+8","8以上"))))))</f>
        <v/>
      </c>
    </row>
    <row r="26" customFormat="false" ht="30" hidden="false" customHeight="true" outlineLevel="0" collapsed="false">
      <c r="A26" s="35"/>
      <c r="B26" s="36"/>
      <c r="C26" s="37"/>
      <c r="D26" s="38" t="str">
        <f aca="false">IF(OR(B26="",C26=""),"",ROUND((IF(C26&lt;1,INT(B26)+C26,C26)-B26)*1440,0)/1440)</f>
        <v/>
      </c>
      <c r="E26" s="39" t="str">
        <f aca="false">IF(D26="","",IF(D26&lt;0,"打日期",IF(D26*1440&lt;=120,"J+2",IF(D26*1440&lt;=240,"J+4",IF(D26*1440&lt;=360,"J+6",IF(D26*1440&lt;=480,"J+8","8以上"))))))</f>
        <v/>
      </c>
    </row>
    <row r="27" customFormat="false" ht="30" hidden="false" customHeight="true" outlineLevel="0" collapsed="false">
      <c r="A27" s="35"/>
      <c r="B27" s="36"/>
      <c r="C27" s="37"/>
      <c r="D27" s="38" t="str">
        <f aca="false">IF(OR(B27="",C27=""),"",ROUND((IF(C27&lt;1,INT(B27)+C27,C27)-B27)*1440,0)/1440)</f>
        <v/>
      </c>
      <c r="E27" s="39" t="str">
        <f aca="false">IF(D27="","",IF(D27&lt;0,"打日期",IF(D27*1440&lt;=120,"J+2",IF(D27*1440&lt;=240,"J+4",IF(D27*1440&lt;=360,"J+6",IF(D27*1440&lt;=480,"J+8","8以上"))))))</f>
        <v/>
      </c>
    </row>
    <row r="28" customFormat="false" ht="30" hidden="false" customHeight="true" outlineLevel="0" collapsed="false">
      <c r="A28" s="35"/>
      <c r="B28" s="36"/>
      <c r="C28" s="37"/>
      <c r="D28" s="38" t="str">
        <f aca="false">IF(OR(B28="",C28=""),"",ROUND((IF(C28&lt;1,INT(B28)+C28,C28)-B28)*1440,0)/1440)</f>
        <v/>
      </c>
      <c r="E28" s="39" t="str">
        <f aca="false">IF(D28="","",IF(D28&lt;0,"打日期",IF(D28*1440&lt;=120,"J+2",IF(D28*1440&lt;=240,"J+4",IF(D28*1440&lt;=360,"J+6",IF(D28*1440&lt;=480,"J+8","8以上"))))))</f>
        <v/>
      </c>
    </row>
    <row r="29" customFormat="false" ht="30" hidden="false" customHeight="true" outlineLevel="0" collapsed="false">
      <c r="A29" s="35"/>
      <c r="B29" s="36"/>
      <c r="C29" s="37"/>
      <c r="D29" s="38" t="str">
        <f aca="false">IF(OR(B29="",C29=""),"",ROUND((IF(C29&lt;1,INT(B29)+C29,C29)-B29)*1440,0)/1440)</f>
        <v/>
      </c>
      <c r="E29" s="39" t="str">
        <f aca="false">IF(D29="","",IF(D29&lt;0,"打日期",IF(D29*1440&lt;=120,"J+2",IF(D29*1440&lt;=240,"J+4",IF(D29*1440&lt;=360,"J+6",IF(D29*1440&lt;=480,"J+8","8以上"))))))</f>
        <v/>
      </c>
    </row>
    <row r="30" customFormat="false" ht="30" hidden="false" customHeight="true" outlineLevel="0" collapsed="false">
      <c r="A30" s="35"/>
      <c r="B30" s="36"/>
      <c r="C30" s="37"/>
      <c r="D30" s="38" t="str">
        <f aca="false">IF(OR(B30="",C30=""),"",ROUND((IF(C30&lt;1,INT(B30)+C30,C30)-B30)*1440,0)/1440)</f>
        <v/>
      </c>
      <c r="E30" s="39" t="str">
        <f aca="false">IF(D30="","",IF(D30&lt;0,"打日期",IF(D30*1440&lt;=120,"J+2",IF(D30*1440&lt;=240,"J+4",IF(D30*1440&lt;=360,"J+6",IF(D30*1440&lt;=480,"J+8","8以上"))))))</f>
        <v/>
      </c>
    </row>
    <row r="31" customFormat="false" ht="30" hidden="false" customHeight="true" outlineLevel="0" collapsed="false">
      <c r="A31" s="35"/>
      <c r="B31" s="36"/>
      <c r="C31" s="37"/>
      <c r="D31" s="38" t="str">
        <f aca="false">IF(OR(B31="",C31=""),"",ROUND((IF(C31&lt;1,INT(B31)+C31,C31)-B31)*1440,0)/1440)</f>
        <v/>
      </c>
      <c r="E31" s="39" t="str">
        <f aca="false">IF(D31="","",IF(D31&lt;0,"打日期",IF(D31*1440&lt;=120,"J+2",IF(D31*1440&lt;=240,"J+4",IF(D31*1440&lt;=360,"J+6",IF(D31*1440&lt;=480,"J+8","8以上"))))))</f>
        <v/>
      </c>
    </row>
    <row r="32" customFormat="false" ht="30" hidden="false" customHeight="true" outlineLevel="0" collapsed="false">
      <c r="A32" s="35"/>
      <c r="B32" s="36"/>
      <c r="C32" s="37"/>
      <c r="D32" s="38" t="str">
        <f aca="false">IF(OR(B32="",C32=""),"",ROUND((IF(C32&lt;1,INT(B32)+C32,C32)-B32)*1440,0)/1440)</f>
        <v/>
      </c>
      <c r="E32" s="39" t="str">
        <f aca="false">IF(D32="","",IF(D32&lt;0,"打日期",IF(D32*1440&lt;=120,"J+2",IF(D32*1440&lt;=240,"J+4",IF(D32*1440&lt;=360,"J+6",IF(D32*1440&lt;=480,"J+8","8以上"))))))</f>
        <v/>
      </c>
    </row>
    <row r="33" customFormat="false" ht="30" hidden="false" customHeight="true" outlineLevel="0" collapsed="false">
      <c r="A33" s="35"/>
      <c r="B33" s="36"/>
      <c r="C33" s="37"/>
      <c r="D33" s="38" t="str">
        <f aca="false">IF(OR(B33="",C33=""),"",ROUND((IF(C33&lt;1,INT(B33)+C33,C33)-B33)*1440,0)/1440)</f>
        <v/>
      </c>
      <c r="E33" s="39" t="str">
        <f aca="false">IF(D33="","",IF(D33&lt;0,"打日期",IF(D33*1440&lt;=120,"J+2",IF(D33*1440&lt;=240,"J+4",IF(D33*1440&lt;=360,"J+6",IF(D33*1440&lt;=480,"J+8","8以上"))))))</f>
        <v/>
      </c>
    </row>
    <row r="34" customFormat="false" ht="30" hidden="false" customHeight="true" outlineLevel="0" collapsed="false">
      <c r="A34" s="35"/>
      <c r="B34" s="36"/>
      <c r="C34" s="37"/>
      <c r="D34" s="38" t="str">
        <f aca="false">IF(OR(B34="",C34=""),"",ROUND((IF(C34&lt;1,INT(B34)+C34,C34)-B34)*1440,0)/1440)</f>
        <v/>
      </c>
      <c r="E34" s="39" t="str">
        <f aca="false">IF(D34="","",IF(D34&lt;0,"打日期",IF(D34*1440&lt;=120,"J+2",IF(D34*1440&lt;=240,"J+4",IF(D34*1440&lt;=360,"J+6",IF(D34*1440&lt;=480,"J+8","8以上"))))))</f>
        <v/>
      </c>
    </row>
    <row r="35" customFormat="false" ht="30" hidden="false" customHeight="true" outlineLevel="0" collapsed="false">
      <c r="A35" s="35"/>
      <c r="B35" s="36"/>
      <c r="C35" s="37"/>
      <c r="D35" s="38" t="str">
        <f aca="false">IF(OR(B35="",C35=""),"",ROUND((IF(C35&lt;1,INT(B35)+C35,C35)-B35)*1440,0)/1440)</f>
        <v/>
      </c>
      <c r="E35" s="39" t="str">
        <f aca="false">IF(D35="","",IF(D35&lt;0,"打日期",IF(D35*1440&lt;=120,"J+2",IF(D35*1440&lt;=240,"J+4",IF(D35*1440&lt;=360,"J+6",IF(D35*1440&lt;=480,"J+8","8以上"))))))</f>
        <v/>
      </c>
    </row>
    <row r="36" customFormat="false" ht="30" hidden="false" customHeight="true" outlineLevel="0" collapsed="false">
      <c r="A36" s="35"/>
      <c r="B36" s="36"/>
      <c r="C36" s="37"/>
      <c r="D36" s="38" t="str">
        <f aca="false">IF(OR(B36="",C36=""),"",ROUND((IF(C36&lt;1,INT(B36)+C36,C36)-B36)*1440,0)/1440)</f>
        <v/>
      </c>
      <c r="E36" s="39" t="str">
        <f aca="false">IF(D36="","",IF(D36&lt;0,"打日期",IF(D36*1440&lt;=120,"J+2",IF(D36*1440&lt;=240,"J+4",IF(D36*1440&lt;=360,"J+6",IF(D36*1440&lt;=480,"J+8","8以上"))))))</f>
        <v/>
      </c>
    </row>
    <row r="37" customFormat="false" ht="30" hidden="false" customHeight="true" outlineLevel="0" collapsed="false">
      <c r="A37" s="35"/>
      <c r="B37" s="36"/>
      <c r="C37" s="37"/>
      <c r="D37" s="38" t="str">
        <f aca="false">IF(OR(B37="",C37=""),"",ROUND((IF(C37&lt;1,INT(B37)+C37,C37)-B37)*1440,0)/1440)</f>
        <v/>
      </c>
      <c r="E37" s="39" t="str">
        <f aca="false">IF(D37="","",IF(D37&lt;0,"打日期",IF(D37*1440&lt;=120,"J+2",IF(D37*1440&lt;=240,"J+4",IF(D37*1440&lt;=360,"J+6",IF(D37*1440&lt;=480,"J+8","8以上"))))))</f>
        <v/>
      </c>
    </row>
    <row r="38" customFormat="false" ht="75" hidden="false" customHeight="true" outlineLevel="0" collapsed="false">
      <c r="A38" s="40" t="s">
        <v>36</v>
      </c>
      <c r="B38" s="40"/>
      <c r="C38" s="40"/>
      <c r="D38" s="40"/>
      <c r="E38" s="40"/>
    </row>
    <row r="40" customFormat="false" ht="21" hidden="false" customHeight="true" outlineLevel="0" collapsed="false">
      <c r="A40" s="41" t="s">
        <v>35</v>
      </c>
      <c r="C40" s="41" t="s">
        <v>28</v>
      </c>
    </row>
    <row r="41" customFormat="false" ht="39.75" hidden="false" customHeight="true" outlineLevel="0" collapsed="false">
      <c r="A41" s="33" t="str">
        <f aca="false">"中和郵務股"&amp;'06'!$G$2&amp;'06'!$H$2&amp;"份 區域內互寄 快捷郵遞時效表"</f>
        <v>中和郵務股115年6月份 區域內互寄 快捷郵遞時效表</v>
      </c>
      <c r="B41" s="33"/>
      <c r="C41" s="33"/>
      <c r="D41" s="33"/>
      <c r="E41" s="33"/>
    </row>
    <row r="42" customFormat="false" ht="30" hidden="false" customHeight="true" outlineLevel="0" collapsed="false">
      <c r="A42" s="34" t="s">
        <v>29</v>
      </c>
      <c r="B42" s="34" t="s">
        <v>30</v>
      </c>
      <c r="C42" s="34" t="s">
        <v>31</v>
      </c>
      <c r="D42" s="34" t="s">
        <v>32</v>
      </c>
      <c r="E42" s="34" t="s">
        <v>33</v>
      </c>
    </row>
    <row r="43" customFormat="false" ht="30" hidden="false" customHeight="true" outlineLevel="0" collapsed="false">
      <c r="A43" s="35"/>
      <c r="B43" s="36"/>
      <c r="C43" s="37"/>
      <c r="D43" s="38" t="str">
        <f aca="false">IF(OR(B43="",C43=""),"",ROUND((IF(C43&lt;1,INT(B43)+C43,C43)-B43)*1440,0)/1440)</f>
        <v/>
      </c>
      <c r="E43" s="39" t="str">
        <f aca="false">IF(D43="","",IF(D43&lt;0,"打日期",IF(D43*1440&lt;=120,"J+2",IF(D43*1440&lt;=240,"J+4",IF(D43*1440&lt;=360,"J+6",IF(D43*1440&lt;=480,"J+8","8以上"))))))</f>
        <v/>
      </c>
    </row>
    <row r="44" customFormat="false" ht="30" hidden="false" customHeight="true" outlineLevel="0" collapsed="false">
      <c r="A44" s="35"/>
      <c r="B44" s="36"/>
      <c r="C44" s="37"/>
      <c r="D44" s="38" t="str">
        <f aca="false">IF(OR(B44="",C44=""),"",ROUND((IF(C44&lt;1,INT(B44)+C44,C44)-B44)*1440,0)/1440)</f>
        <v/>
      </c>
      <c r="E44" s="39" t="str">
        <f aca="false">IF(D44="","",IF(D44&lt;0,"打日期",IF(D44*1440&lt;=120,"J+2",IF(D44*1440&lt;=240,"J+4",IF(D44*1440&lt;=360,"J+6",IF(D44*1440&lt;=480,"J+8","8以上"))))))</f>
        <v/>
      </c>
    </row>
    <row r="45" customFormat="false" ht="30" hidden="false" customHeight="true" outlineLevel="0" collapsed="false">
      <c r="A45" s="35"/>
      <c r="B45" s="36"/>
      <c r="C45" s="37"/>
      <c r="D45" s="38" t="str">
        <f aca="false">IF(OR(B45="",C45=""),"",ROUND((IF(C45&lt;1,INT(B45)+C45,C45)-B45)*1440,0)/1440)</f>
        <v/>
      </c>
      <c r="E45" s="39" t="str">
        <f aca="false">IF(D45="","",IF(D45&lt;0,"打日期",IF(D45*1440&lt;=120,"J+2",IF(D45*1440&lt;=240,"J+4",IF(D45*1440&lt;=360,"J+6",IF(D45*1440&lt;=480,"J+8","8以上"))))))</f>
        <v/>
      </c>
    </row>
    <row r="46" customFormat="false" ht="30" hidden="false" customHeight="true" outlineLevel="0" collapsed="false">
      <c r="A46" s="35"/>
      <c r="B46" s="36"/>
      <c r="C46" s="37"/>
      <c r="D46" s="38" t="str">
        <f aca="false">IF(OR(B46="",C46=""),"",ROUND((IF(C46&lt;1,INT(B46)+C46,C46)-B46)*1440,0)/1440)</f>
        <v/>
      </c>
      <c r="E46" s="39" t="str">
        <f aca="false">IF(D46="","",IF(D46&lt;0,"打日期",IF(D46*1440&lt;=120,"J+2",IF(D46*1440&lt;=240,"J+4",IF(D46*1440&lt;=360,"J+6",IF(D46*1440&lt;=480,"J+8","8以上"))))))</f>
        <v/>
      </c>
    </row>
    <row r="47" customFormat="false" ht="30" hidden="false" customHeight="true" outlineLevel="0" collapsed="false">
      <c r="A47" s="35"/>
      <c r="B47" s="36"/>
      <c r="C47" s="37"/>
      <c r="D47" s="38" t="str">
        <f aca="false">IF(OR(B47="",C47=""),"",ROUND((IF(C47&lt;1,INT(B47)+C47,C47)-B47)*1440,0)/1440)</f>
        <v/>
      </c>
      <c r="E47" s="39" t="str">
        <f aca="false">IF(D47="","",IF(D47&lt;0,"打日期",IF(D47*1440&lt;=120,"J+2",IF(D47*1440&lt;=240,"J+4",IF(D47*1440&lt;=360,"J+6",IF(D47*1440&lt;=480,"J+8","8以上"))))))</f>
        <v/>
      </c>
    </row>
    <row r="48" customFormat="false" ht="30" hidden="false" customHeight="true" outlineLevel="0" collapsed="false">
      <c r="A48" s="35"/>
      <c r="B48" s="36"/>
      <c r="C48" s="37"/>
      <c r="D48" s="38" t="str">
        <f aca="false">IF(OR(B48="",C48=""),"",ROUND((IF(C48&lt;1,INT(B48)+C48,C48)-B48)*1440,0)/1440)</f>
        <v/>
      </c>
      <c r="E48" s="39" t="str">
        <f aca="false">IF(D48="","",IF(D48&lt;0,"打日期",IF(D48*1440&lt;=120,"J+2",IF(D48*1440&lt;=240,"J+4",IF(D48*1440&lt;=360,"J+6",IF(D48*1440&lt;=480,"J+8","8以上"))))))</f>
        <v/>
      </c>
    </row>
    <row r="49" customFormat="false" ht="30" hidden="false" customHeight="true" outlineLevel="0" collapsed="false">
      <c r="A49" s="35"/>
      <c r="B49" s="36"/>
      <c r="C49" s="37"/>
      <c r="D49" s="38" t="str">
        <f aca="false">IF(OR(B49="",C49=""),"",ROUND((IF(C49&lt;1,INT(B49)+C49,C49)-B49)*1440,0)/1440)</f>
        <v/>
      </c>
      <c r="E49" s="39" t="str">
        <f aca="false">IF(D49="","",IF(D49&lt;0,"打日期",IF(D49*1440&lt;=120,"J+2",IF(D49*1440&lt;=240,"J+4",IF(D49*1440&lt;=360,"J+6",IF(D49*1440&lt;=480,"J+8","8以上"))))))</f>
        <v/>
      </c>
    </row>
    <row r="50" customFormat="false" ht="30" hidden="false" customHeight="true" outlineLevel="0" collapsed="false">
      <c r="A50" s="35"/>
      <c r="B50" s="36"/>
      <c r="C50" s="37"/>
      <c r="D50" s="38" t="str">
        <f aca="false">IF(OR(B50="",C50=""),"",ROUND((IF(C50&lt;1,INT(B50)+C50,C50)-B50)*1440,0)/1440)</f>
        <v/>
      </c>
      <c r="E50" s="39" t="str">
        <f aca="false">IF(D50="","",IF(D50&lt;0,"打日期",IF(D50*1440&lt;=120,"J+2",IF(D50*1440&lt;=240,"J+4",IF(D50*1440&lt;=360,"J+6",IF(D50*1440&lt;=480,"J+8","8以上"))))))</f>
        <v/>
      </c>
    </row>
    <row r="51" customFormat="false" ht="30" hidden="false" customHeight="true" outlineLevel="0" collapsed="false">
      <c r="A51" s="35"/>
      <c r="B51" s="36"/>
      <c r="C51" s="37"/>
      <c r="D51" s="38" t="str">
        <f aca="false">IF(OR(B51="",C51=""),"",ROUND((IF(C51&lt;1,INT(B51)+C51,C51)-B51)*1440,0)/1440)</f>
        <v/>
      </c>
      <c r="E51" s="39" t="str">
        <f aca="false">IF(D51="","",IF(D51&lt;0,"打日期",IF(D51*1440&lt;=120,"J+2",IF(D51*1440&lt;=240,"J+4",IF(D51*1440&lt;=360,"J+6",IF(D51*1440&lt;=480,"J+8","8以上"))))))</f>
        <v/>
      </c>
    </row>
    <row r="52" customFormat="false" ht="30" hidden="false" customHeight="true" outlineLevel="0" collapsed="false">
      <c r="A52" s="35"/>
      <c r="B52" s="36"/>
      <c r="C52" s="37"/>
      <c r="D52" s="38" t="str">
        <f aca="false">IF(OR(B52="",C52=""),"",ROUND((IF(C52&lt;1,INT(B52)+C52,C52)-B52)*1440,0)/1440)</f>
        <v/>
      </c>
      <c r="E52" s="39" t="str">
        <f aca="false">IF(D52="","",IF(D52&lt;0,"打日期",IF(D52*1440&lt;=120,"J+2",IF(D52*1440&lt;=240,"J+4",IF(D52*1440&lt;=360,"J+6",IF(D52*1440&lt;=480,"J+8","8以上"))))))</f>
        <v/>
      </c>
    </row>
    <row r="53" customFormat="false" ht="30" hidden="false" customHeight="true" outlineLevel="0" collapsed="false">
      <c r="A53" s="35"/>
      <c r="B53" s="36"/>
      <c r="C53" s="37"/>
      <c r="D53" s="38" t="str">
        <f aca="false">IF(OR(B53="",C53=""),"",ROUND((IF(C53&lt;1,INT(B53)+C53,C53)-B53)*1440,0)/1440)</f>
        <v/>
      </c>
      <c r="E53" s="39" t="str">
        <f aca="false">IF(D53="","",IF(D53&lt;0,"打日期",IF(D53*1440&lt;=120,"J+2",IF(D53*1440&lt;=240,"J+4",IF(D53*1440&lt;=360,"J+6",IF(D53*1440&lt;=480,"J+8","8以上"))))))</f>
        <v/>
      </c>
    </row>
    <row r="54" customFormat="false" ht="30" hidden="false" customHeight="true" outlineLevel="0" collapsed="false">
      <c r="A54" s="35"/>
      <c r="B54" s="36"/>
      <c r="C54" s="37"/>
      <c r="D54" s="38" t="str">
        <f aca="false">IF(OR(B54="",C54=""),"",ROUND((IF(C54&lt;1,INT(B54)+C54,C54)-B54)*1440,0)/1440)</f>
        <v/>
      </c>
      <c r="E54" s="39" t="str">
        <f aca="false">IF(D54="","",IF(D54&lt;0,"打日期",IF(D54*1440&lt;=120,"J+2",IF(D54*1440&lt;=240,"J+4",IF(D54*1440&lt;=360,"J+6",IF(D54*1440&lt;=480,"J+8","8以上"))))))</f>
        <v/>
      </c>
    </row>
    <row r="55" customFormat="false" ht="30" hidden="false" customHeight="true" outlineLevel="0" collapsed="false">
      <c r="A55" s="35"/>
      <c r="B55" s="36"/>
      <c r="C55" s="37"/>
      <c r="D55" s="38" t="str">
        <f aca="false">IF(OR(B55="",C55=""),"",ROUND((IF(C55&lt;1,INT(B55)+C55,C55)-B55)*1440,0)/1440)</f>
        <v/>
      </c>
      <c r="E55" s="39" t="str">
        <f aca="false">IF(D55="","",IF(D55&lt;0,"打日期",IF(D55*1440&lt;=120,"J+2",IF(D55*1440&lt;=240,"J+4",IF(D55*1440&lt;=360,"J+6",IF(D55*1440&lt;=480,"J+8","8以上"))))))</f>
        <v/>
      </c>
    </row>
    <row r="56" customFormat="false" ht="30" hidden="false" customHeight="true" outlineLevel="0" collapsed="false">
      <c r="A56" s="35"/>
      <c r="B56" s="36"/>
      <c r="C56" s="37"/>
      <c r="D56" s="38" t="str">
        <f aca="false">IF(OR(B56="",C56=""),"",ROUND((IF(C56&lt;1,INT(B56)+C56,C56)-B56)*1440,0)/1440)</f>
        <v/>
      </c>
      <c r="E56" s="39" t="str">
        <f aca="false">IF(D56="","",IF(D56&lt;0,"打日期",IF(D56*1440&lt;=120,"J+2",IF(D56*1440&lt;=240,"J+4",IF(D56*1440&lt;=360,"J+6",IF(D56*1440&lt;=480,"J+8","8以上"))))))</f>
        <v/>
      </c>
    </row>
    <row r="57" customFormat="false" ht="30" hidden="false" customHeight="true" outlineLevel="0" collapsed="false">
      <c r="A57" s="35"/>
      <c r="B57" s="36"/>
      <c r="C57" s="37"/>
      <c r="D57" s="38" t="str">
        <f aca="false">IF(OR(B57="",C57=""),"",ROUND((IF(C57&lt;1,INT(B57)+C57,C57)-B57)*1440,0)/1440)</f>
        <v/>
      </c>
      <c r="E57" s="39" t="str">
        <f aca="false">IF(D57="","",IF(D57&lt;0,"打日期",IF(D57*1440&lt;=120,"J+2",IF(D57*1440&lt;=240,"J+4",IF(D57*1440&lt;=360,"J+6",IF(D57*1440&lt;=480,"J+8","8以上"))))))</f>
        <v/>
      </c>
    </row>
    <row r="58" customFormat="false" ht="75" hidden="false" customHeight="true" outlineLevel="0" collapsed="false">
      <c r="A58" s="40" t="s">
        <v>37</v>
      </c>
      <c r="B58" s="40"/>
      <c r="C58" s="40"/>
      <c r="D58" s="40"/>
      <c r="E58" s="40"/>
    </row>
    <row r="60" customFormat="false" ht="21" hidden="false" customHeight="true" outlineLevel="0" collapsed="false">
      <c r="A60" s="41" t="s">
        <v>35</v>
      </c>
      <c r="C60" s="41" t="s">
        <v>28</v>
      </c>
    </row>
    <row r="61" customFormat="false" ht="39.75" hidden="false" customHeight="true" outlineLevel="0" collapsed="false">
      <c r="A61" s="33" t="str">
        <f aca="false">"中和郵務股"&amp;'06'!$G$2&amp;'06'!$H$2&amp;"份 轉口 快捷郵遞時效表"</f>
        <v>中和郵務股115年6月份 轉口 快捷郵遞時效表</v>
      </c>
      <c r="B61" s="33"/>
      <c r="C61" s="33"/>
      <c r="D61" s="33"/>
      <c r="E61" s="33"/>
    </row>
    <row r="62" customFormat="false" ht="30" hidden="false" customHeight="true" outlineLevel="0" collapsed="false">
      <c r="A62" s="34" t="s">
        <v>29</v>
      </c>
      <c r="B62" s="34" t="s">
        <v>30</v>
      </c>
      <c r="C62" s="34" t="s">
        <v>31</v>
      </c>
      <c r="D62" s="34" t="s">
        <v>32</v>
      </c>
      <c r="E62" s="34" t="s">
        <v>33</v>
      </c>
    </row>
    <row r="63" customFormat="false" ht="30" hidden="false" customHeight="true" outlineLevel="0" collapsed="false">
      <c r="A63" s="35"/>
      <c r="B63" s="36"/>
      <c r="C63" s="37"/>
      <c r="D63" s="38" t="str">
        <f aca="false">IF(OR(B63="",C63=""),"",ROUND((IF(C63&lt;1,INT(B63)+C63,C63)-B63)*1440,0)/1440)</f>
        <v/>
      </c>
      <c r="E63" s="39" t="str">
        <f aca="false">IF(D63="","",IF(D63&lt;0,"打日期",IF(D63*1440&lt;=120,"J+2",IF(D63*1440&lt;=240,"J+4",IF(D63*1440&lt;=360,"J+6",IF(D63*1440&lt;=480,"J+8","8以上"))))))</f>
        <v/>
      </c>
    </row>
    <row r="64" customFormat="false" ht="30" hidden="false" customHeight="true" outlineLevel="0" collapsed="false">
      <c r="A64" s="35"/>
      <c r="B64" s="36"/>
      <c r="C64" s="37"/>
      <c r="D64" s="38" t="str">
        <f aca="false">IF(OR(B64="",C64=""),"",ROUND((IF(C64&lt;1,INT(B64)+C64,C64)-B64)*1440,0)/1440)</f>
        <v/>
      </c>
      <c r="E64" s="39" t="str">
        <f aca="false">IF(D64="","",IF(D64&lt;0,"打日期",IF(D64*1440&lt;=120,"J+2",IF(D64*1440&lt;=240,"J+4",IF(D64*1440&lt;=360,"J+6",IF(D64*1440&lt;=480,"J+8","8以上"))))))</f>
        <v/>
      </c>
    </row>
    <row r="65" customFormat="false" ht="30" hidden="false" customHeight="true" outlineLevel="0" collapsed="false">
      <c r="A65" s="35"/>
      <c r="B65" s="36"/>
      <c r="C65" s="37"/>
      <c r="D65" s="38" t="str">
        <f aca="false">IF(OR(B65="",C65=""),"",ROUND((IF(C65&lt;1,INT(B65)+C65,C65)-B65)*1440,0)/1440)</f>
        <v/>
      </c>
      <c r="E65" s="39" t="str">
        <f aca="false">IF(D65="","",IF(D65&lt;0,"打日期",IF(D65*1440&lt;=120,"J+2",IF(D65*1440&lt;=240,"J+4",IF(D65*1440&lt;=360,"J+6",IF(D65*1440&lt;=480,"J+8","8以上"))))))</f>
        <v/>
      </c>
    </row>
    <row r="66" customFormat="false" ht="30" hidden="false" customHeight="true" outlineLevel="0" collapsed="false">
      <c r="A66" s="35"/>
      <c r="B66" s="36"/>
      <c r="C66" s="37"/>
      <c r="D66" s="38" t="str">
        <f aca="false">IF(OR(B66="",C66=""),"",ROUND((IF(C66&lt;1,INT(B66)+C66,C66)-B66)*1440,0)/1440)</f>
        <v/>
      </c>
      <c r="E66" s="39" t="str">
        <f aca="false">IF(D66="","",IF(D66&lt;0,"打日期",IF(D66*1440&lt;=120,"J+2",IF(D66*1440&lt;=240,"J+4",IF(D66*1440&lt;=360,"J+6",IF(D66*1440&lt;=480,"J+8","8以上"))))))</f>
        <v/>
      </c>
    </row>
    <row r="67" customFormat="false" ht="30" hidden="false" customHeight="true" outlineLevel="0" collapsed="false">
      <c r="A67" s="35"/>
      <c r="B67" s="36"/>
      <c r="C67" s="37"/>
      <c r="D67" s="38" t="str">
        <f aca="false">IF(OR(B67="",C67=""),"",ROUND((IF(C67&lt;1,INT(B67)+C67,C67)-B67)*1440,0)/1440)</f>
        <v/>
      </c>
      <c r="E67" s="39" t="str">
        <f aca="false">IF(D67="","",IF(D67&lt;0,"打日期",IF(D67*1440&lt;=120,"J+2",IF(D67*1440&lt;=240,"J+4",IF(D67*1440&lt;=360,"J+6",IF(D67*1440&lt;=480,"J+8","8以上"))))))</f>
        <v/>
      </c>
    </row>
    <row r="68" customFormat="false" ht="30" hidden="false" customHeight="true" outlineLevel="0" collapsed="false">
      <c r="A68" s="35"/>
      <c r="B68" s="36"/>
      <c r="C68" s="37"/>
      <c r="D68" s="38" t="str">
        <f aca="false">IF(OR(B68="",C68=""),"",ROUND((IF(C68&lt;1,INT(B68)+C68,C68)-B68)*1440,0)/1440)</f>
        <v/>
      </c>
      <c r="E68" s="39" t="str">
        <f aca="false">IF(D68="","",IF(D68&lt;0,"打日期",IF(D68*1440&lt;=120,"J+2",IF(D68*1440&lt;=240,"J+4",IF(D68*1440&lt;=360,"J+6",IF(D68*1440&lt;=480,"J+8","8以上"))))))</f>
        <v/>
      </c>
    </row>
    <row r="69" customFormat="false" ht="30" hidden="false" customHeight="true" outlineLevel="0" collapsed="false">
      <c r="A69" s="35"/>
      <c r="B69" s="36"/>
      <c r="C69" s="37"/>
      <c r="D69" s="38" t="str">
        <f aca="false">IF(OR(B69="",C69=""),"",ROUND((IF(C69&lt;1,INT(B69)+C69,C69)-B69)*1440,0)/1440)</f>
        <v/>
      </c>
      <c r="E69" s="39" t="str">
        <f aca="false">IF(D69="","",IF(D69&lt;0,"打日期",IF(D69*1440&lt;=120,"J+2",IF(D69*1440&lt;=240,"J+4",IF(D69*1440&lt;=360,"J+6",IF(D69*1440&lt;=480,"J+8","8以上"))))))</f>
        <v/>
      </c>
    </row>
    <row r="70" customFormat="false" ht="30" hidden="false" customHeight="true" outlineLevel="0" collapsed="false">
      <c r="A70" s="35"/>
      <c r="B70" s="36"/>
      <c r="C70" s="37"/>
      <c r="D70" s="38" t="str">
        <f aca="false">IF(OR(B70="",C70=""),"",ROUND((IF(C70&lt;1,INT(B70)+C70,C70)-B70)*1440,0)/1440)</f>
        <v/>
      </c>
      <c r="E70" s="39" t="str">
        <f aca="false">IF(D70="","",IF(D70&lt;0,"打日期",IF(D70*1440&lt;=120,"J+2",IF(D70*1440&lt;=240,"J+4",IF(D70*1440&lt;=360,"J+6",IF(D70*1440&lt;=480,"J+8","8以上"))))))</f>
        <v/>
      </c>
    </row>
    <row r="71" customFormat="false" ht="30" hidden="false" customHeight="true" outlineLevel="0" collapsed="false">
      <c r="A71" s="35"/>
      <c r="B71" s="36"/>
      <c r="C71" s="37"/>
      <c r="D71" s="38" t="str">
        <f aca="false">IF(OR(B71="",C71=""),"",ROUND((IF(C71&lt;1,INT(B71)+C71,C71)-B71)*1440,0)/1440)</f>
        <v/>
      </c>
      <c r="E71" s="39" t="str">
        <f aca="false">IF(D71="","",IF(D71&lt;0,"打日期",IF(D71*1440&lt;=120,"J+2",IF(D71*1440&lt;=240,"J+4",IF(D71*1440&lt;=360,"J+6",IF(D71*1440&lt;=480,"J+8","8以上"))))))</f>
        <v/>
      </c>
    </row>
    <row r="72" customFormat="false" ht="30" hidden="false" customHeight="true" outlineLevel="0" collapsed="false">
      <c r="A72" s="35"/>
      <c r="B72" s="36"/>
      <c r="C72" s="37"/>
      <c r="D72" s="38" t="str">
        <f aca="false">IF(OR(B72="",C72=""),"",ROUND((IF(C72&lt;1,INT(B72)+C72,C72)-B72)*1440,0)/1440)</f>
        <v/>
      </c>
      <c r="E72" s="39" t="str">
        <f aca="false">IF(D72="","",IF(D72&lt;0,"打日期",IF(D72*1440&lt;=120,"J+2",IF(D72*1440&lt;=240,"J+4",IF(D72*1440&lt;=360,"J+6",IF(D72*1440&lt;=480,"J+8","8以上"))))))</f>
        <v/>
      </c>
    </row>
    <row r="73" customFormat="false" ht="30" hidden="false" customHeight="true" outlineLevel="0" collapsed="false">
      <c r="A73" s="35"/>
      <c r="B73" s="36"/>
      <c r="C73" s="37"/>
      <c r="D73" s="38" t="str">
        <f aca="false">IF(OR(B73="",C73=""),"",ROUND((IF(C73&lt;1,INT(B73)+C73,C73)-B73)*1440,0)/1440)</f>
        <v/>
      </c>
      <c r="E73" s="39" t="str">
        <f aca="false">IF(D73="","",IF(D73&lt;0,"打日期",IF(D73*1440&lt;=120,"J+2",IF(D73*1440&lt;=240,"J+4",IF(D73*1440&lt;=360,"J+6",IF(D73*1440&lt;=480,"J+8","8以上"))))))</f>
        <v/>
      </c>
    </row>
    <row r="74" customFormat="false" ht="30" hidden="false" customHeight="true" outlineLevel="0" collapsed="false">
      <c r="A74" s="35"/>
      <c r="B74" s="36"/>
      <c r="C74" s="37"/>
      <c r="D74" s="38" t="str">
        <f aca="false">IF(OR(B74="",C74=""),"",ROUND((IF(C74&lt;1,INT(B74)+C74,C74)-B74)*1440,0)/1440)</f>
        <v/>
      </c>
      <c r="E74" s="39" t="str">
        <f aca="false">IF(D74="","",IF(D74&lt;0,"打日期",IF(D74*1440&lt;=120,"J+2",IF(D74*1440&lt;=240,"J+4",IF(D74*1440&lt;=360,"J+6",IF(D74*1440&lt;=480,"J+8","8以上"))))))</f>
        <v/>
      </c>
    </row>
    <row r="75" customFormat="false" ht="30" hidden="false" customHeight="true" outlineLevel="0" collapsed="false">
      <c r="A75" s="35"/>
      <c r="B75" s="36"/>
      <c r="C75" s="37"/>
      <c r="D75" s="38" t="str">
        <f aca="false">IF(OR(B75="",C75=""),"",ROUND((IF(C75&lt;1,INT(B75)+C75,C75)-B75)*1440,0)/1440)</f>
        <v/>
      </c>
      <c r="E75" s="39" t="str">
        <f aca="false">IF(D75="","",IF(D75&lt;0,"打日期",IF(D75*1440&lt;=120,"J+2",IF(D75*1440&lt;=240,"J+4",IF(D75*1440&lt;=360,"J+6",IF(D75*1440&lt;=480,"J+8","8以上"))))))</f>
        <v/>
      </c>
    </row>
    <row r="76" customFormat="false" ht="30" hidden="false" customHeight="true" outlineLevel="0" collapsed="false">
      <c r="A76" s="35"/>
      <c r="B76" s="36"/>
      <c r="C76" s="37"/>
      <c r="D76" s="38" t="str">
        <f aca="false">IF(OR(B76="",C76=""),"",ROUND((IF(C76&lt;1,INT(B76)+C76,C76)-B76)*1440,0)/1440)</f>
        <v/>
      </c>
      <c r="E76" s="39" t="str">
        <f aca="false">IF(D76="","",IF(D76&lt;0,"打日期",IF(D76*1440&lt;=120,"J+2",IF(D76*1440&lt;=240,"J+4",IF(D76*1440&lt;=360,"J+6",IF(D76*1440&lt;=480,"J+8","8以上"))))))</f>
        <v/>
      </c>
    </row>
    <row r="77" customFormat="false" ht="30" hidden="false" customHeight="true" outlineLevel="0" collapsed="false">
      <c r="A77" s="35"/>
      <c r="B77" s="36"/>
      <c r="C77" s="37"/>
      <c r="D77" s="38" t="str">
        <f aca="false">IF(OR(B77="",C77=""),"",ROUND((IF(C77&lt;1,INT(B77)+C77,C77)-B77)*1440,0)/1440)</f>
        <v/>
      </c>
      <c r="E77" s="39" t="str">
        <f aca="false">IF(D77="","",IF(D77&lt;0,"打日期",IF(D77*1440&lt;=120,"J+2",IF(D77*1440&lt;=240,"J+4",IF(D77*1440&lt;=360,"J+6",IF(D77*1440&lt;=480,"J+8","8以上"))))))</f>
        <v/>
      </c>
    </row>
    <row r="78" customFormat="false" ht="75" hidden="false" customHeight="true" outlineLevel="0" collapsed="false">
      <c r="A78" s="40" t="s">
        <v>38</v>
      </c>
      <c r="B78" s="40"/>
      <c r="C78" s="40"/>
      <c r="D78" s="40"/>
      <c r="E78" s="40"/>
    </row>
    <row r="80" customFormat="false" ht="21" hidden="false" customHeight="true" outlineLevel="0" collapsed="false">
      <c r="A80" s="41" t="s">
        <v>35</v>
      </c>
      <c r="C80" s="41" t="s">
        <v>28</v>
      </c>
    </row>
  </sheetData>
  <mergeCells count="8">
    <mergeCell ref="A1:E1"/>
    <mergeCell ref="A18:E18"/>
    <mergeCell ref="A21:E21"/>
    <mergeCell ref="A38:E38"/>
    <mergeCell ref="A41:E41"/>
    <mergeCell ref="A58:E58"/>
    <mergeCell ref="A61:E61"/>
    <mergeCell ref="A78:E78"/>
  </mergeCells>
  <printOptions headings="false" gridLines="false" gridLinesSet="true" horizontalCentered="true" verticalCentered="false"/>
  <pageMargins left="0.5" right="0.5" top="0.5" bottom="0.5" header="0.511811023622047" footer="0.511811023622047"/>
  <pageSetup paperSize="9" scale="9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3" manualBreakCount="3">
    <brk id="20" man="true" max="16383" min="0"/>
    <brk id="40" man="true" max="16383" min="0"/>
    <brk id="60" man="true" max="16383" min="0"/>
  </row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true"/>
  </sheetPr>
  <dimension ref="A1:O1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G6" activeCellId="0" sqref="G6"/>
    </sheetView>
  </sheetViews>
  <sheetFormatPr defaultColWidth="8.87890625" defaultRowHeight="16.5" zeroHeight="false" outlineLevelRow="0" outlineLevelCol="0"/>
  <cols>
    <col collapsed="false" customWidth="true" hidden="false" outlineLevel="0" max="1" min="1" style="1" width="2.75"/>
    <col collapsed="false" customWidth="true" hidden="false" outlineLevel="0" max="2" min="2" style="1" width="21.5"/>
    <col collapsed="false" customWidth="true" hidden="false" outlineLevel="0" max="3" min="3" style="1" width="11.75"/>
    <col collapsed="false" customWidth="true" hidden="false" outlineLevel="0" max="15" min="4" style="1" width="11"/>
    <col collapsed="false" customWidth="false" hidden="false" outlineLevel="0" max="16384" min="16" style="1" width="8.88"/>
  </cols>
  <sheetData>
    <row r="1" customFormat="false" ht="43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43.5" hidden="false" customHeight="true" outlineLevel="0" collapsed="false">
      <c r="A2" s="3"/>
      <c r="F2" s="4"/>
      <c r="G2" s="5" t="str">
        <f aca="false">'01'!G2</f>
        <v>115年</v>
      </c>
      <c r="H2" s="42" t="s">
        <v>44</v>
      </c>
      <c r="I2" s="4"/>
    </row>
    <row r="3" customFormat="false" ht="48.75" hidden="false" customHeight="true" outlineLevel="0" collapsed="false">
      <c r="A3" s="7" t="s">
        <v>3</v>
      </c>
      <c r="B3" s="7"/>
      <c r="C3" s="8" t="s">
        <v>4</v>
      </c>
      <c r="D3" s="9" t="s">
        <v>5</v>
      </c>
      <c r="E3" s="10" t="s">
        <v>6</v>
      </c>
      <c r="F3" s="9" t="s">
        <v>7</v>
      </c>
      <c r="G3" s="10" t="s">
        <v>8</v>
      </c>
      <c r="H3" s="9" t="s">
        <v>9</v>
      </c>
      <c r="I3" s="10" t="s">
        <v>10</v>
      </c>
      <c r="J3" s="9" t="s">
        <v>11</v>
      </c>
      <c r="K3" s="10" t="s">
        <v>12</v>
      </c>
      <c r="L3" s="9" t="s">
        <v>13</v>
      </c>
      <c r="M3" s="10" t="s">
        <v>14</v>
      </c>
      <c r="N3" s="11" t="s">
        <v>15</v>
      </c>
      <c r="O3" s="8" t="s">
        <v>16</v>
      </c>
    </row>
    <row r="4" customFormat="false" ht="50.25" hidden="false" customHeight="true" outlineLevel="0" collapsed="false">
      <c r="A4" s="12" t="s">
        <v>17</v>
      </c>
      <c r="B4" s="12"/>
      <c r="C4" s="13" t="n">
        <f aca="false">D4+F4+H4+J4+L4</f>
        <v>0</v>
      </c>
      <c r="D4" s="14" t="n">
        <f aca="false">COUNTIF(07子本!$E$3:$E$17,"J+2")</f>
        <v>0</v>
      </c>
      <c r="E4" s="15" t="str">
        <f aca="false">IF($C4=0,"",D4/$C4)</f>
        <v/>
      </c>
      <c r="F4" s="14" t="n">
        <f aca="false">COUNTIF(07子本!$E$3:$E$17,"J+4")</f>
        <v>0</v>
      </c>
      <c r="G4" s="15" t="str">
        <f aca="false">IF($C4=0,"",F4/$C4)</f>
        <v/>
      </c>
      <c r="H4" s="14" t="n">
        <f aca="false">COUNTIF(07子本!$E$3:$E$17,"J+6")</f>
        <v>0</v>
      </c>
      <c r="I4" s="15" t="str">
        <f aca="false">IF($C4=0,"",H4/$C4)</f>
        <v/>
      </c>
      <c r="J4" s="14" t="n">
        <f aca="false">COUNTIF(07子本!$E$3:$E$17,"J+8")</f>
        <v>0</v>
      </c>
      <c r="K4" s="15" t="str">
        <f aca="false">IF($C4=0,"",J4/$C4)</f>
        <v/>
      </c>
      <c r="L4" s="14" t="n">
        <f aca="false">COUNTIF(07子本!$E$3:$E$17,"8以上")</f>
        <v>0</v>
      </c>
      <c r="M4" s="15" t="str">
        <f aca="false">IF($C4=0,"",L4/$C4)</f>
        <v/>
      </c>
      <c r="N4" s="16" t="n">
        <v>1</v>
      </c>
      <c r="O4" s="17" t="str">
        <f aca="false">IF($C4=0,"",(D4*2+F4*4+H4*6+J4*8+L4*8)/$C4)</f>
        <v/>
      </c>
    </row>
    <row r="5" customFormat="false" ht="50.25" hidden="false" customHeight="true" outlineLevel="0" collapsed="false">
      <c r="A5" s="12" t="s">
        <v>18</v>
      </c>
      <c r="B5" s="12"/>
      <c r="C5" s="13" t="n">
        <f aca="false">D5+F5+H5+J5+L5</f>
        <v>0</v>
      </c>
      <c r="D5" s="14" t="n">
        <f aca="false">COUNTIF(07子本!$E$23:$E$37,"J+2")</f>
        <v>0</v>
      </c>
      <c r="E5" s="15" t="str">
        <f aca="false">IF($C5=0,"",D5/$C5)</f>
        <v/>
      </c>
      <c r="F5" s="14" t="n">
        <f aca="false">COUNTIF(07子本!$E$23:$E$37,"J+4")</f>
        <v>0</v>
      </c>
      <c r="G5" s="15" t="str">
        <f aca="false">IF($C5=0,"",F5/$C5)</f>
        <v/>
      </c>
      <c r="H5" s="14" t="n">
        <f aca="false">COUNTIF(07子本!$E$23:$E$37,"J+6")</f>
        <v>0</v>
      </c>
      <c r="I5" s="15" t="str">
        <f aca="false">IF($C5=0,"",H5/$C5)</f>
        <v/>
      </c>
      <c r="J5" s="14" t="n">
        <f aca="false">COUNTIF(07子本!$E$23:$E$37,"J+8")</f>
        <v>0</v>
      </c>
      <c r="K5" s="15" t="str">
        <f aca="false">IF($C5=0,"",J5/$C5)</f>
        <v/>
      </c>
      <c r="L5" s="14" t="n">
        <f aca="false">COUNTIF(07子本!$E$23:$E$37,"8以上")</f>
        <v>0</v>
      </c>
      <c r="M5" s="15" t="str">
        <f aca="false">IF($C5=0,"",L5/$C5)</f>
        <v/>
      </c>
      <c r="N5" s="16" t="n">
        <v>1</v>
      </c>
      <c r="O5" s="17" t="str">
        <f aca="false">IF($C5=0,"",(D5*2+F5*4+H5*6+J5*8+L5*8)/$C5)</f>
        <v/>
      </c>
    </row>
    <row r="6" customFormat="false" ht="54.75" hidden="false" customHeight="true" outlineLevel="0" collapsed="false">
      <c r="A6" s="18" t="s">
        <v>19</v>
      </c>
      <c r="B6" s="18"/>
      <c r="C6" s="13" t="n">
        <f aca="false">D6+F6+H6+J6+L6</f>
        <v>0</v>
      </c>
      <c r="D6" s="14" t="n">
        <f aca="false">COUNTIF(07子本!$E$43:$E$57,"J+2")</f>
        <v>0</v>
      </c>
      <c r="E6" s="15" t="str">
        <f aca="false">IF($C6=0,"",D6/$C6)</f>
        <v/>
      </c>
      <c r="F6" s="14" t="n">
        <f aca="false">COUNTIF(07子本!$E$43:$E$57,"J+4")</f>
        <v>0</v>
      </c>
      <c r="G6" s="15" t="str">
        <f aca="false">IF($C6=0,"",F6/$C6)</f>
        <v/>
      </c>
      <c r="H6" s="14" t="n">
        <f aca="false">COUNTIF(07子本!$E$43:$E$57,"J+6")</f>
        <v>0</v>
      </c>
      <c r="I6" s="15" t="str">
        <f aca="false">IF($C6=0,"",H6/$C6)</f>
        <v/>
      </c>
      <c r="J6" s="14" t="n">
        <f aca="false">COUNTIF(07子本!$E$43:$E$57,"J+8")</f>
        <v>0</v>
      </c>
      <c r="K6" s="15" t="str">
        <f aca="false">IF($C6=0,"",J6/$C6)</f>
        <v/>
      </c>
      <c r="L6" s="14" t="n">
        <f aca="false">COUNTIF(07子本!$E$43:$E$57,"8以上")</f>
        <v>0</v>
      </c>
      <c r="M6" s="15" t="str">
        <f aca="false">IF($C6=0,"",L6/$C6)</f>
        <v/>
      </c>
      <c r="N6" s="16" t="n">
        <v>1</v>
      </c>
      <c r="O6" s="17" t="str">
        <f aca="false">IF($C6=0,"",(D6*2+F6*4+H6*6+J6*8+L6*8)/$C6)</f>
        <v/>
      </c>
    </row>
    <row r="7" customFormat="false" ht="50.25" hidden="false" customHeight="true" outlineLevel="0" collapsed="false">
      <c r="A7" s="19" t="s">
        <v>20</v>
      </c>
      <c r="B7" s="19"/>
      <c r="C7" s="13" t="n">
        <f aca="false">D7+F7+H7+J7+L7</f>
        <v>0</v>
      </c>
      <c r="D7" s="14" t="n">
        <f aca="false">COUNTIF(07子本!$E$63:$E$77,"J+2")</f>
        <v>0</v>
      </c>
      <c r="E7" s="15" t="str">
        <f aca="false">IF($C7=0,"",D7/$C7)</f>
        <v/>
      </c>
      <c r="F7" s="14" t="n">
        <f aca="false">COUNTIF(07子本!$E$63:$E$77,"J+4")</f>
        <v>0</v>
      </c>
      <c r="G7" s="15" t="str">
        <f aca="false">IF($C7=0,"",F7/$C7)</f>
        <v/>
      </c>
      <c r="H7" s="14" t="n">
        <f aca="false">COUNTIF(07子本!$E$63:$E$77,"J+6")</f>
        <v>0</v>
      </c>
      <c r="I7" s="15" t="str">
        <f aca="false">IF($C7=0,"",H7/$C7)</f>
        <v/>
      </c>
      <c r="J7" s="14" t="n">
        <f aca="false">COUNTIF(07子本!$E$63:$E$77,"J+8")</f>
        <v>0</v>
      </c>
      <c r="K7" s="15" t="str">
        <f aca="false">IF($C7=0,"",J7/$C7)</f>
        <v/>
      </c>
      <c r="L7" s="14" t="n">
        <f aca="false">COUNTIF(07子本!$E$63:$E$77,"8以上")</f>
        <v>0</v>
      </c>
      <c r="M7" s="15" t="str">
        <f aca="false">IF($C7=0,"",L7/$C7)</f>
        <v/>
      </c>
      <c r="N7" s="20" t="n">
        <v>1</v>
      </c>
      <c r="O7" s="17" t="str">
        <f aca="false">IF($C7=0,"",(D7*2+F7*4+H7*6+J7*8+L7*8)/$C7)</f>
        <v/>
      </c>
    </row>
    <row r="8" customFormat="false" ht="21" hidden="false" customHeight="true" outlineLevel="0" collapsed="false">
      <c r="A8" s="21" t="s">
        <v>21</v>
      </c>
      <c r="B8" s="21"/>
      <c r="C8" s="22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</row>
    <row r="9" customFormat="false" ht="60.75" hidden="false" customHeight="true" outlineLevel="0" collapsed="false">
      <c r="A9" s="24" t="n">
        <v>1</v>
      </c>
      <c r="B9" s="25" t="s">
        <v>22</v>
      </c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</row>
    <row r="10" customFormat="false" ht="21" hidden="false" customHeight="true" outlineLevel="0" collapsed="false">
      <c r="A10" s="24" t="n">
        <v>2</v>
      </c>
      <c r="B10" s="26" t="s">
        <v>23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</row>
    <row r="11" customFormat="false" ht="39" hidden="false" customHeight="true" outlineLevel="0" collapsed="false">
      <c r="A11" s="24" t="n">
        <v>3</v>
      </c>
      <c r="B11" s="25" t="s">
        <v>24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customFormat="false" ht="39.75" hidden="false" customHeight="true" outlineLevel="0" collapsed="false">
      <c r="A12" s="24" t="n">
        <v>4</v>
      </c>
      <c r="B12" s="25" t="s">
        <v>25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</row>
    <row r="13" customFormat="false" ht="40.5" hidden="false" customHeight="true" outlineLevel="0" collapsed="false">
      <c r="A13" s="24" t="n">
        <v>5</v>
      </c>
      <c r="B13" s="25" t="s">
        <v>26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</row>
    <row r="14" customFormat="false" ht="21" hidden="false" customHeight="true" outlineLevel="0" collapsed="false">
      <c r="B14" s="27" t="s">
        <v>27</v>
      </c>
      <c r="C14" s="27"/>
      <c r="D14" s="28"/>
      <c r="E14" s="28"/>
      <c r="F14" s="29" t="s">
        <v>28</v>
      </c>
      <c r="G14" s="29"/>
      <c r="H14" s="30"/>
      <c r="I14" s="30"/>
      <c r="J14" s="31"/>
      <c r="K14" s="31"/>
      <c r="O14" s="28"/>
    </row>
  </sheetData>
  <mergeCells count="12">
    <mergeCell ref="A1:M1"/>
    <mergeCell ref="A3:B3"/>
    <mergeCell ref="A4:B4"/>
    <mergeCell ref="A5:B5"/>
    <mergeCell ref="A6:B6"/>
    <mergeCell ref="A7:B7"/>
    <mergeCell ref="A8:B8"/>
    <mergeCell ref="B9:O9"/>
    <mergeCell ref="B10:O10"/>
    <mergeCell ref="B11:O11"/>
    <mergeCell ref="B12:O12"/>
    <mergeCell ref="B13:O13"/>
  </mergeCells>
  <printOptions headings="false" gridLines="false" gridLinesSet="true" horizontalCentered="true" verticalCentered="true"/>
  <pageMargins left="0.157638888888889" right="0.551388888888889" top="0.196527777777778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E5CC"/>
    <pageSetUpPr fitToPage="false"/>
  </sheetPr>
  <dimension ref="A1:E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" defaultRowHeight="21" zeroHeight="false" outlineLevelRow="0" outlineLevelCol="0"/>
  <cols>
    <col collapsed="false" customWidth="true" hidden="false" outlineLevel="0" max="1" min="1" style="32" width="34.63"/>
    <col collapsed="false" customWidth="true" hidden="false" outlineLevel="0" max="3" min="2" style="32" width="17.63"/>
    <col collapsed="false" customWidth="true" hidden="false" outlineLevel="0" max="5" min="4" style="32" width="9.63"/>
    <col collapsed="false" customWidth="false" hidden="false" outlineLevel="0" max="16384" min="6" style="32" width="9"/>
  </cols>
  <sheetData>
    <row r="1" customFormat="false" ht="39.75" hidden="false" customHeight="true" outlineLevel="0" collapsed="false">
      <c r="A1" s="33" t="str">
        <f aca="false">"中和郵務股"&amp;'07'!$G$2&amp;'07'!$H$2&amp;"份 本口 快捷郵遞時效表"</f>
        <v>中和郵務股115年7月份 本口 快捷郵遞時效表</v>
      </c>
      <c r="B1" s="33"/>
      <c r="C1" s="33"/>
      <c r="D1" s="33"/>
      <c r="E1" s="33"/>
    </row>
    <row r="2" customFormat="false" ht="30" hidden="false" customHeight="true" outlineLevel="0" collapsed="false">
      <c r="A2" s="34" t="s">
        <v>29</v>
      </c>
      <c r="B2" s="34" t="s">
        <v>30</v>
      </c>
      <c r="C2" s="34" t="s">
        <v>31</v>
      </c>
      <c r="D2" s="34" t="s">
        <v>32</v>
      </c>
      <c r="E2" s="34" t="s">
        <v>33</v>
      </c>
    </row>
    <row r="3" customFormat="false" ht="30" hidden="false" customHeight="true" outlineLevel="0" collapsed="false">
      <c r="A3" s="35"/>
      <c r="B3" s="36"/>
      <c r="C3" s="37"/>
      <c r="D3" s="38" t="str">
        <f aca="false">IF(OR(B3="",C3=""),"",ROUND((IF(C3&lt;1,INT(B3)+C3,C3)-B3)*1440,0)/1440)</f>
        <v/>
      </c>
      <c r="E3" s="39" t="str">
        <f aca="false">IF(D3="","",IF(D3&lt;0,"打日期",IF(D3*1440&lt;=120,"J+2",IF(D3*1440&lt;=240,"J+4",IF(D3*1440&lt;=360,"J+6",IF(D3*1440&lt;=480,"J+8","8以上"))))))</f>
        <v/>
      </c>
    </row>
    <row r="4" customFormat="false" ht="30" hidden="false" customHeight="true" outlineLevel="0" collapsed="false">
      <c r="A4" s="35"/>
      <c r="B4" s="36"/>
      <c r="C4" s="37"/>
      <c r="D4" s="38" t="str">
        <f aca="false">IF(OR(B4="",C4=""),"",ROUND((IF(C4&lt;1,INT(B4)+C4,C4)-B4)*1440,0)/1440)</f>
        <v/>
      </c>
      <c r="E4" s="39" t="str">
        <f aca="false">IF(D4="","",IF(D4&lt;0,"打日期",IF(D4*1440&lt;=120,"J+2",IF(D4*1440&lt;=240,"J+4",IF(D4*1440&lt;=360,"J+6",IF(D4*1440&lt;=480,"J+8","8以上"))))))</f>
        <v/>
      </c>
    </row>
    <row r="5" customFormat="false" ht="30" hidden="false" customHeight="true" outlineLevel="0" collapsed="false">
      <c r="A5" s="35"/>
      <c r="B5" s="36"/>
      <c r="C5" s="37"/>
      <c r="D5" s="38" t="str">
        <f aca="false">IF(OR(B5="",C5=""),"",ROUND((IF(C5&lt;1,INT(B5)+C5,C5)-B5)*1440,0)/1440)</f>
        <v/>
      </c>
      <c r="E5" s="39" t="str">
        <f aca="false">IF(D5="","",IF(D5&lt;0,"打日期",IF(D5*1440&lt;=120,"J+2",IF(D5*1440&lt;=240,"J+4",IF(D5*1440&lt;=360,"J+6",IF(D5*1440&lt;=480,"J+8","8以上"))))))</f>
        <v/>
      </c>
    </row>
    <row r="6" customFormat="false" ht="30" hidden="false" customHeight="true" outlineLevel="0" collapsed="false">
      <c r="A6" s="35"/>
      <c r="B6" s="36"/>
      <c r="C6" s="37"/>
      <c r="D6" s="38" t="str">
        <f aca="false">IF(OR(B6="",C6=""),"",ROUND((IF(C6&lt;1,INT(B6)+C6,C6)-B6)*1440,0)/1440)</f>
        <v/>
      </c>
      <c r="E6" s="39" t="str">
        <f aca="false">IF(D6="","",IF(D6&lt;0,"打日期",IF(D6*1440&lt;=120,"J+2",IF(D6*1440&lt;=240,"J+4",IF(D6*1440&lt;=360,"J+6",IF(D6*1440&lt;=480,"J+8","8以上"))))))</f>
        <v/>
      </c>
    </row>
    <row r="7" customFormat="false" ht="30" hidden="false" customHeight="true" outlineLevel="0" collapsed="false">
      <c r="A7" s="35"/>
      <c r="B7" s="36"/>
      <c r="C7" s="37"/>
      <c r="D7" s="38" t="str">
        <f aca="false">IF(OR(B7="",C7=""),"",ROUND((IF(C7&lt;1,INT(B7)+C7,C7)-B7)*1440,0)/1440)</f>
        <v/>
      </c>
      <c r="E7" s="39" t="str">
        <f aca="false">IF(D7="","",IF(D7&lt;0,"打日期",IF(D7*1440&lt;=120,"J+2",IF(D7*1440&lt;=240,"J+4",IF(D7*1440&lt;=360,"J+6",IF(D7*1440&lt;=480,"J+8","8以上"))))))</f>
        <v/>
      </c>
    </row>
    <row r="8" customFormat="false" ht="30" hidden="false" customHeight="true" outlineLevel="0" collapsed="false">
      <c r="A8" s="35"/>
      <c r="B8" s="36"/>
      <c r="C8" s="37"/>
      <c r="D8" s="38" t="str">
        <f aca="false">IF(OR(B8="",C8=""),"",ROUND((IF(C8&lt;1,INT(B8)+C8,C8)-B8)*1440,0)/1440)</f>
        <v/>
      </c>
      <c r="E8" s="39" t="str">
        <f aca="false">IF(D8="","",IF(D8&lt;0,"打日期",IF(D8*1440&lt;=120,"J+2",IF(D8*1440&lt;=240,"J+4",IF(D8*1440&lt;=360,"J+6",IF(D8*1440&lt;=480,"J+8","8以上"))))))</f>
        <v/>
      </c>
    </row>
    <row r="9" customFormat="false" ht="30" hidden="false" customHeight="true" outlineLevel="0" collapsed="false">
      <c r="A9" s="35"/>
      <c r="B9" s="36"/>
      <c r="C9" s="37"/>
      <c r="D9" s="38" t="str">
        <f aca="false">IF(OR(B9="",C9=""),"",ROUND((IF(C9&lt;1,INT(B9)+C9,C9)-B9)*1440,0)/1440)</f>
        <v/>
      </c>
      <c r="E9" s="39" t="str">
        <f aca="false">IF(D9="","",IF(D9&lt;0,"打日期",IF(D9*1440&lt;=120,"J+2",IF(D9*1440&lt;=240,"J+4",IF(D9*1440&lt;=360,"J+6",IF(D9*1440&lt;=480,"J+8","8以上"))))))</f>
        <v/>
      </c>
    </row>
    <row r="10" customFormat="false" ht="30" hidden="false" customHeight="true" outlineLevel="0" collapsed="false">
      <c r="A10" s="35"/>
      <c r="B10" s="36"/>
      <c r="C10" s="37"/>
      <c r="D10" s="38" t="str">
        <f aca="false">IF(OR(B10="",C10=""),"",ROUND((IF(C10&lt;1,INT(B10)+C10,C10)-B10)*1440,0)/1440)</f>
        <v/>
      </c>
      <c r="E10" s="39" t="str">
        <f aca="false">IF(D10="","",IF(D10&lt;0,"打日期",IF(D10*1440&lt;=120,"J+2",IF(D10*1440&lt;=240,"J+4",IF(D10*1440&lt;=360,"J+6",IF(D10*1440&lt;=480,"J+8","8以上"))))))</f>
        <v/>
      </c>
    </row>
    <row r="11" customFormat="false" ht="30" hidden="false" customHeight="true" outlineLevel="0" collapsed="false">
      <c r="A11" s="35"/>
      <c r="B11" s="36"/>
      <c r="C11" s="37"/>
      <c r="D11" s="38" t="str">
        <f aca="false">IF(OR(B11="",C11=""),"",ROUND((IF(C11&lt;1,INT(B11)+C11,C11)-B11)*1440,0)/1440)</f>
        <v/>
      </c>
      <c r="E11" s="39" t="str">
        <f aca="false">IF(D11="","",IF(D11&lt;0,"打日期",IF(D11*1440&lt;=120,"J+2",IF(D11*1440&lt;=240,"J+4",IF(D11*1440&lt;=360,"J+6",IF(D11*1440&lt;=480,"J+8","8以上"))))))</f>
        <v/>
      </c>
    </row>
    <row r="12" customFormat="false" ht="30" hidden="false" customHeight="true" outlineLevel="0" collapsed="false">
      <c r="A12" s="35"/>
      <c r="B12" s="36"/>
      <c r="C12" s="37"/>
      <c r="D12" s="38" t="str">
        <f aca="false">IF(OR(B12="",C12=""),"",ROUND((IF(C12&lt;1,INT(B12)+C12,C12)-B12)*1440,0)/1440)</f>
        <v/>
      </c>
      <c r="E12" s="39" t="str">
        <f aca="false">IF(D12="","",IF(D12&lt;0,"打日期",IF(D12*1440&lt;=120,"J+2",IF(D12*1440&lt;=240,"J+4",IF(D12*1440&lt;=360,"J+6",IF(D12*1440&lt;=480,"J+8","8以上"))))))</f>
        <v/>
      </c>
    </row>
    <row r="13" customFormat="false" ht="30" hidden="false" customHeight="true" outlineLevel="0" collapsed="false">
      <c r="A13" s="35"/>
      <c r="B13" s="36"/>
      <c r="C13" s="37"/>
      <c r="D13" s="38" t="str">
        <f aca="false">IF(OR(B13="",C13=""),"",ROUND((IF(C13&lt;1,INT(B13)+C13,C13)-B13)*1440,0)/1440)</f>
        <v/>
      </c>
      <c r="E13" s="39" t="str">
        <f aca="false">IF(D13="","",IF(D13&lt;0,"打日期",IF(D13*1440&lt;=120,"J+2",IF(D13*1440&lt;=240,"J+4",IF(D13*1440&lt;=360,"J+6",IF(D13*1440&lt;=480,"J+8","8以上"))))))</f>
        <v/>
      </c>
    </row>
    <row r="14" customFormat="false" ht="30" hidden="false" customHeight="true" outlineLevel="0" collapsed="false">
      <c r="A14" s="35"/>
      <c r="B14" s="36"/>
      <c r="C14" s="37"/>
      <c r="D14" s="38" t="str">
        <f aca="false">IF(OR(B14="",C14=""),"",ROUND((IF(C14&lt;1,INT(B14)+C14,C14)-B14)*1440,0)/1440)</f>
        <v/>
      </c>
      <c r="E14" s="39" t="str">
        <f aca="false">IF(D14="","",IF(D14&lt;0,"打日期",IF(D14*1440&lt;=120,"J+2",IF(D14*1440&lt;=240,"J+4",IF(D14*1440&lt;=360,"J+6",IF(D14*1440&lt;=480,"J+8","8以上"))))))</f>
        <v/>
      </c>
    </row>
    <row r="15" customFormat="false" ht="30" hidden="false" customHeight="true" outlineLevel="0" collapsed="false">
      <c r="A15" s="35"/>
      <c r="B15" s="36"/>
      <c r="C15" s="37"/>
      <c r="D15" s="38" t="str">
        <f aca="false">IF(OR(B15="",C15=""),"",ROUND((IF(C15&lt;1,INT(B15)+C15,C15)-B15)*1440,0)/1440)</f>
        <v/>
      </c>
      <c r="E15" s="39" t="str">
        <f aca="false">IF(D15="","",IF(D15&lt;0,"打日期",IF(D15*1440&lt;=120,"J+2",IF(D15*1440&lt;=240,"J+4",IF(D15*1440&lt;=360,"J+6",IF(D15*1440&lt;=480,"J+8","8以上"))))))</f>
        <v/>
      </c>
    </row>
    <row r="16" customFormat="false" ht="30" hidden="false" customHeight="true" outlineLevel="0" collapsed="false">
      <c r="A16" s="35"/>
      <c r="B16" s="36"/>
      <c r="C16" s="37"/>
      <c r="D16" s="38" t="str">
        <f aca="false">IF(OR(B16="",C16=""),"",ROUND((IF(C16&lt;1,INT(B16)+C16,C16)-B16)*1440,0)/1440)</f>
        <v/>
      </c>
      <c r="E16" s="39" t="str">
        <f aca="false">IF(D16="","",IF(D16&lt;0,"打日期",IF(D16*1440&lt;=120,"J+2",IF(D16*1440&lt;=240,"J+4",IF(D16*1440&lt;=360,"J+6",IF(D16*1440&lt;=480,"J+8","8以上"))))))</f>
        <v/>
      </c>
    </row>
    <row r="17" customFormat="false" ht="30" hidden="false" customHeight="true" outlineLevel="0" collapsed="false">
      <c r="A17" s="35"/>
      <c r="B17" s="36"/>
      <c r="C17" s="37"/>
      <c r="D17" s="38" t="str">
        <f aca="false">IF(OR(B17="",C17=""),"",ROUND((IF(C17&lt;1,INT(B17)+C17,C17)-B17)*1440,0)/1440)</f>
        <v/>
      </c>
      <c r="E17" s="39" t="str">
        <f aca="false">IF(D17="","",IF(D17&lt;0,"打日期",IF(D17*1440&lt;=120,"J+2",IF(D17*1440&lt;=240,"J+4",IF(D17*1440&lt;=360,"J+6",IF(D17*1440&lt;=480,"J+8","8以上"))))))</f>
        <v/>
      </c>
    </row>
    <row r="18" customFormat="false" ht="75" hidden="false" customHeight="true" outlineLevel="0" collapsed="false">
      <c r="A18" s="40" t="s">
        <v>34</v>
      </c>
      <c r="B18" s="40"/>
      <c r="C18" s="40"/>
      <c r="D18" s="40"/>
      <c r="E18" s="40"/>
    </row>
    <row r="20" customFormat="false" ht="21" hidden="false" customHeight="true" outlineLevel="0" collapsed="false">
      <c r="A20" s="41" t="s">
        <v>35</v>
      </c>
      <c r="C20" s="41" t="s">
        <v>28</v>
      </c>
    </row>
    <row r="21" customFormat="false" ht="39.75" hidden="false" customHeight="true" outlineLevel="0" collapsed="false">
      <c r="A21" s="33" t="str">
        <f aca="false">"中和郵務股"&amp;'07'!$G$2&amp;'07'!$H$2&amp;"份 十大都會區 快捷郵遞時效表"</f>
        <v>中和郵務股115年7月份 十大都會區 快捷郵遞時效表</v>
      </c>
      <c r="B21" s="33"/>
      <c r="C21" s="33"/>
      <c r="D21" s="33"/>
      <c r="E21" s="33"/>
    </row>
    <row r="22" customFormat="false" ht="30" hidden="false" customHeight="true" outlineLevel="0" collapsed="false">
      <c r="A22" s="34" t="s">
        <v>29</v>
      </c>
      <c r="B22" s="34" t="s">
        <v>30</v>
      </c>
      <c r="C22" s="34" t="s">
        <v>31</v>
      </c>
      <c r="D22" s="34" t="s">
        <v>32</v>
      </c>
      <c r="E22" s="34" t="s">
        <v>33</v>
      </c>
    </row>
    <row r="23" customFormat="false" ht="30" hidden="false" customHeight="true" outlineLevel="0" collapsed="false">
      <c r="A23" s="35"/>
      <c r="B23" s="36"/>
      <c r="C23" s="37"/>
      <c r="D23" s="38" t="str">
        <f aca="false">IF(OR(B23="",C23=""),"",ROUND((IF(C23&lt;1,INT(B23)+C23,C23)-B23)*1440,0)/1440)</f>
        <v/>
      </c>
      <c r="E23" s="39" t="str">
        <f aca="false">IF(D23="","",IF(D23&lt;0,"打日期",IF(D23*1440&lt;=120,"J+2",IF(D23*1440&lt;=240,"J+4",IF(D23*1440&lt;=360,"J+6",IF(D23*1440&lt;=480,"J+8","8以上"))))))</f>
        <v/>
      </c>
    </row>
    <row r="24" customFormat="false" ht="30" hidden="false" customHeight="true" outlineLevel="0" collapsed="false">
      <c r="A24" s="35"/>
      <c r="B24" s="36"/>
      <c r="C24" s="37"/>
      <c r="D24" s="38" t="str">
        <f aca="false">IF(OR(B24="",C24=""),"",ROUND((IF(C24&lt;1,INT(B24)+C24,C24)-B24)*1440,0)/1440)</f>
        <v/>
      </c>
      <c r="E24" s="39" t="str">
        <f aca="false">IF(D24="","",IF(D24&lt;0,"打日期",IF(D24*1440&lt;=120,"J+2",IF(D24*1440&lt;=240,"J+4",IF(D24*1440&lt;=360,"J+6",IF(D24*1440&lt;=480,"J+8","8以上"))))))</f>
        <v/>
      </c>
    </row>
    <row r="25" customFormat="false" ht="30" hidden="false" customHeight="true" outlineLevel="0" collapsed="false">
      <c r="A25" s="35"/>
      <c r="B25" s="36"/>
      <c r="C25" s="37"/>
      <c r="D25" s="38" t="str">
        <f aca="false">IF(OR(B25="",C25=""),"",ROUND((IF(C25&lt;1,INT(B25)+C25,C25)-B25)*1440,0)/1440)</f>
        <v/>
      </c>
      <c r="E25" s="39" t="str">
        <f aca="false">IF(D25="","",IF(D25&lt;0,"打日期",IF(D25*1440&lt;=120,"J+2",IF(D25*1440&lt;=240,"J+4",IF(D25*1440&lt;=360,"J+6",IF(D25*1440&lt;=480,"J+8","8以上"))))))</f>
        <v/>
      </c>
    </row>
    <row r="26" customFormat="false" ht="30" hidden="false" customHeight="true" outlineLevel="0" collapsed="false">
      <c r="A26" s="35"/>
      <c r="B26" s="36"/>
      <c r="C26" s="37"/>
      <c r="D26" s="38" t="str">
        <f aca="false">IF(OR(B26="",C26=""),"",ROUND((IF(C26&lt;1,INT(B26)+C26,C26)-B26)*1440,0)/1440)</f>
        <v/>
      </c>
      <c r="E26" s="39" t="str">
        <f aca="false">IF(D26="","",IF(D26&lt;0,"打日期",IF(D26*1440&lt;=120,"J+2",IF(D26*1440&lt;=240,"J+4",IF(D26*1440&lt;=360,"J+6",IF(D26*1440&lt;=480,"J+8","8以上"))))))</f>
        <v/>
      </c>
    </row>
    <row r="27" customFormat="false" ht="30" hidden="false" customHeight="true" outlineLevel="0" collapsed="false">
      <c r="A27" s="35"/>
      <c r="B27" s="36"/>
      <c r="C27" s="37"/>
      <c r="D27" s="38" t="str">
        <f aca="false">IF(OR(B27="",C27=""),"",ROUND((IF(C27&lt;1,INT(B27)+C27,C27)-B27)*1440,0)/1440)</f>
        <v/>
      </c>
      <c r="E27" s="39" t="str">
        <f aca="false">IF(D27="","",IF(D27&lt;0,"打日期",IF(D27*1440&lt;=120,"J+2",IF(D27*1440&lt;=240,"J+4",IF(D27*1440&lt;=360,"J+6",IF(D27*1440&lt;=480,"J+8","8以上"))))))</f>
        <v/>
      </c>
    </row>
    <row r="28" customFormat="false" ht="30" hidden="false" customHeight="true" outlineLevel="0" collapsed="false">
      <c r="A28" s="35"/>
      <c r="B28" s="36"/>
      <c r="C28" s="37"/>
      <c r="D28" s="38" t="str">
        <f aca="false">IF(OR(B28="",C28=""),"",ROUND((IF(C28&lt;1,INT(B28)+C28,C28)-B28)*1440,0)/1440)</f>
        <v/>
      </c>
      <c r="E28" s="39" t="str">
        <f aca="false">IF(D28="","",IF(D28&lt;0,"打日期",IF(D28*1440&lt;=120,"J+2",IF(D28*1440&lt;=240,"J+4",IF(D28*1440&lt;=360,"J+6",IF(D28*1440&lt;=480,"J+8","8以上"))))))</f>
        <v/>
      </c>
    </row>
    <row r="29" customFormat="false" ht="30" hidden="false" customHeight="true" outlineLevel="0" collapsed="false">
      <c r="A29" s="35"/>
      <c r="B29" s="36"/>
      <c r="C29" s="37"/>
      <c r="D29" s="38" t="str">
        <f aca="false">IF(OR(B29="",C29=""),"",ROUND((IF(C29&lt;1,INT(B29)+C29,C29)-B29)*1440,0)/1440)</f>
        <v/>
      </c>
      <c r="E29" s="39" t="str">
        <f aca="false">IF(D29="","",IF(D29&lt;0,"打日期",IF(D29*1440&lt;=120,"J+2",IF(D29*1440&lt;=240,"J+4",IF(D29*1440&lt;=360,"J+6",IF(D29*1440&lt;=480,"J+8","8以上"))))))</f>
        <v/>
      </c>
    </row>
    <row r="30" customFormat="false" ht="30" hidden="false" customHeight="true" outlineLevel="0" collapsed="false">
      <c r="A30" s="35"/>
      <c r="B30" s="36"/>
      <c r="C30" s="37"/>
      <c r="D30" s="38" t="str">
        <f aca="false">IF(OR(B30="",C30=""),"",ROUND((IF(C30&lt;1,INT(B30)+C30,C30)-B30)*1440,0)/1440)</f>
        <v/>
      </c>
      <c r="E30" s="39" t="str">
        <f aca="false">IF(D30="","",IF(D30&lt;0,"打日期",IF(D30*1440&lt;=120,"J+2",IF(D30*1440&lt;=240,"J+4",IF(D30*1440&lt;=360,"J+6",IF(D30*1440&lt;=480,"J+8","8以上"))))))</f>
        <v/>
      </c>
    </row>
    <row r="31" customFormat="false" ht="30" hidden="false" customHeight="true" outlineLevel="0" collapsed="false">
      <c r="A31" s="35"/>
      <c r="B31" s="36"/>
      <c r="C31" s="37"/>
      <c r="D31" s="38" t="str">
        <f aca="false">IF(OR(B31="",C31=""),"",ROUND((IF(C31&lt;1,INT(B31)+C31,C31)-B31)*1440,0)/1440)</f>
        <v/>
      </c>
      <c r="E31" s="39" t="str">
        <f aca="false">IF(D31="","",IF(D31&lt;0,"打日期",IF(D31*1440&lt;=120,"J+2",IF(D31*1440&lt;=240,"J+4",IF(D31*1440&lt;=360,"J+6",IF(D31*1440&lt;=480,"J+8","8以上"))))))</f>
        <v/>
      </c>
    </row>
    <row r="32" customFormat="false" ht="30" hidden="false" customHeight="true" outlineLevel="0" collapsed="false">
      <c r="A32" s="35"/>
      <c r="B32" s="36"/>
      <c r="C32" s="37"/>
      <c r="D32" s="38" t="str">
        <f aca="false">IF(OR(B32="",C32=""),"",ROUND((IF(C32&lt;1,INT(B32)+C32,C32)-B32)*1440,0)/1440)</f>
        <v/>
      </c>
      <c r="E32" s="39" t="str">
        <f aca="false">IF(D32="","",IF(D32&lt;0,"打日期",IF(D32*1440&lt;=120,"J+2",IF(D32*1440&lt;=240,"J+4",IF(D32*1440&lt;=360,"J+6",IF(D32*1440&lt;=480,"J+8","8以上"))))))</f>
        <v/>
      </c>
    </row>
    <row r="33" customFormat="false" ht="30" hidden="false" customHeight="true" outlineLevel="0" collapsed="false">
      <c r="A33" s="35"/>
      <c r="B33" s="36"/>
      <c r="C33" s="37"/>
      <c r="D33" s="38" t="str">
        <f aca="false">IF(OR(B33="",C33=""),"",ROUND((IF(C33&lt;1,INT(B33)+C33,C33)-B33)*1440,0)/1440)</f>
        <v/>
      </c>
      <c r="E33" s="39" t="str">
        <f aca="false">IF(D33="","",IF(D33&lt;0,"打日期",IF(D33*1440&lt;=120,"J+2",IF(D33*1440&lt;=240,"J+4",IF(D33*1440&lt;=360,"J+6",IF(D33*1440&lt;=480,"J+8","8以上"))))))</f>
        <v/>
      </c>
    </row>
    <row r="34" customFormat="false" ht="30" hidden="false" customHeight="true" outlineLevel="0" collapsed="false">
      <c r="A34" s="35"/>
      <c r="B34" s="36"/>
      <c r="C34" s="37"/>
      <c r="D34" s="38" t="str">
        <f aca="false">IF(OR(B34="",C34=""),"",ROUND((IF(C34&lt;1,INT(B34)+C34,C34)-B34)*1440,0)/1440)</f>
        <v/>
      </c>
      <c r="E34" s="39" t="str">
        <f aca="false">IF(D34="","",IF(D34&lt;0,"打日期",IF(D34*1440&lt;=120,"J+2",IF(D34*1440&lt;=240,"J+4",IF(D34*1440&lt;=360,"J+6",IF(D34*1440&lt;=480,"J+8","8以上"))))))</f>
        <v/>
      </c>
    </row>
    <row r="35" customFormat="false" ht="30" hidden="false" customHeight="true" outlineLevel="0" collapsed="false">
      <c r="A35" s="35"/>
      <c r="B35" s="36"/>
      <c r="C35" s="37"/>
      <c r="D35" s="38" t="str">
        <f aca="false">IF(OR(B35="",C35=""),"",ROUND((IF(C35&lt;1,INT(B35)+C35,C35)-B35)*1440,0)/1440)</f>
        <v/>
      </c>
      <c r="E35" s="39" t="str">
        <f aca="false">IF(D35="","",IF(D35&lt;0,"打日期",IF(D35*1440&lt;=120,"J+2",IF(D35*1440&lt;=240,"J+4",IF(D35*1440&lt;=360,"J+6",IF(D35*1440&lt;=480,"J+8","8以上"))))))</f>
        <v/>
      </c>
    </row>
    <row r="36" customFormat="false" ht="30" hidden="false" customHeight="true" outlineLevel="0" collapsed="false">
      <c r="A36" s="35"/>
      <c r="B36" s="36"/>
      <c r="C36" s="37"/>
      <c r="D36" s="38" t="str">
        <f aca="false">IF(OR(B36="",C36=""),"",ROUND((IF(C36&lt;1,INT(B36)+C36,C36)-B36)*1440,0)/1440)</f>
        <v/>
      </c>
      <c r="E36" s="39" t="str">
        <f aca="false">IF(D36="","",IF(D36&lt;0,"打日期",IF(D36*1440&lt;=120,"J+2",IF(D36*1440&lt;=240,"J+4",IF(D36*1440&lt;=360,"J+6",IF(D36*1440&lt;=480,"J+8","8以上"))))))</f>
        <v/>
      </c>
    </row>
    <row r="37" customFormat="false" ht="30" hidden="false" customHeight="true" outlineLevel="0" collapsed="false">
      <c r="A37" s="35"/>
      <c r="B37" s="36"/>
      <c r="C37" s="37"/>
      <c r="D37" s="38" t="str">
        <f aca="false">IF(OR(B37="",C37=""),"",ROUND((IF(C37&lt;1,INT(B37)+C37,C37)-B37)*1440,0)/1440)</f>
        <v/>
      </c>
      <c r="E37" s="39" t="str">
        <f aca="false">IF(D37="","",IF(D37&lt;0,"打日期",IF(D37*1440&lt;=120,"J+2",IF(D37*1440&lt;=240,"J+4",IF(D37*1440&lt;=360,"J+6",IF(D37*1440&lt;=480,"J+8","8以上"))))))</f>
        <v/>
      </c>
    </row>
    <row r="38" customFormat="false" ht="75" hidden="false" customHeight="true" outlineLevel="0" collapsed="false">
      <c r="A38" s="40" t="s">
        <v>36</v>
      </c>
      <c r="B38" s="40"/>
      <c r="C38" s="40"/>
      <c r="D38" s="40"/>
      <c r="E38" s="40"/>
    </row>
    <row r="40" customFormat="false" ht="21" hidden="false" customHeight="true" outlineLevel="0" collapsed="false">
      <c r="A40" s="41" t="s">
        <v>35</v>
      </c>
      <c r="C40" s="41" t="s">
        <v>28</v>
      </c>
    </row>
    <row r="41" customFormat="false" ht="39.75" hidden="false" customHeight="true" outlineLevel="0" collapsed="false">
      <c r="A41" s="33" t="str">
        <f aca="false">"中和郵務股"&amp;'07'!$G$2&amp;'07'!$H$2&amp;"份 區域內互寄 快捷郵遞時效表"</f>
        <v>中和郵務股115年7月份 區域內互寄 快捷郵遞時效表</v>
      </c>
      <c r="B41" s="33"/>
      <c r="C41" s="33"/>
      <c r="D41" s="33"/>
      <c r="E41" s="33"/>
    </row>
    <row r="42" customFormat="false" ht="30" hidden="false" customHeight="true" outlineLevel="0" collapsed="false">
      <c r="A42" s="34" t="s">
        <v>29</v>
      </c>
      <c r="B42" s="34" t="s">
        <v>30</v>
      </c>
      <c r="C42" s="34" t="s">
        <v>31</v>
      </c>
      <c r="D42" s="34" t="s">
        <v>32</v>
      </c>
      <c r="E42" s="34" t="s">
        <v>33</v>
      </c>
    </row>
    <row r="43" customFormat="false" ht="30" hidden="false" customHeight="true" outlineLevel="0" collapsed="false">
      <c r="A43" s="35"/>
      <c r="B43" s="36"/>
      <c r="C43" s="37"/>
      <c r="D43" s="38" t="str">
        <f aca="false">IF(OR(B43="",C43=""),"",ROUND((IF(C43&lt;1,INT(B43)+C43,C43)-B43)*1440,0)/1440)</f>
        <v/>
      </c>
      <c r="E43" s="39" t="str">
        <f aca="false">IF(D43="","",IF(D43&lt;0,"打日期",IF(D43*1440&lt;=120,"J+2",IF(D43*1440&lt;=240,"J+4",IF(D43*1440&lt;=360,"J+6",IF(D43*1440&lt;=480,"J+8","8以上"))))))</f>
        <v/>
      </c>
    </row>
    <row r="44" customFormat="false" ht="30" hidden="false" customHeight="true" outlineLevel="0" collapsed="false">
      <c r="A44" s="35"/>
      <c r="B44" s="36"/>
      <c r="C44" s="37"/>
      <c r="D44" s="38" t="str">
        <f aca="false">IF(OR(B44="",C44=""),"",ROUND((IF(C44&lt;1,INT(B44)+C44,C44)-B44)*1440,0)/1440)</f>
        <v/>
      </c>
      <c r="E44" s="39" t="str">
        <f aca="false">IF(D44="","",IF(D44&lt;0,"打日期",IF(D44*1440&lt;=120,"J+2",IF(D44*1440&lt;=240,"J+4",IF(D44*1440&lt;=360,"J+6",IF(D44*1440&lt;=480,"J+8","8以上"))))))</f>
        <v/>
      </c>
    </row>
    <row r="45" customFormat="false" ht="30" hidden="false" customHeight="true" outlineLevel="0" collapsed="false">
      <c r="A45" s="35"/>
      <c r="B45" s="36"/>
      <c r="C45" s="37"/>
      <c r="D45" s="38" t="str">
        <f aca="false">IF(OR(B45="",C45=""),"",ROUND((IF(C45&lt;1,INT(B45)+C45,C45)-B45)*1440,0)/1440)</f>
        <v/>
      </c>
      <c r="E45" s="39" t="str">
        <f aca="false">IF(D45="","",IF(D45&lt;0,"打日期",IF(D45*1440&lt;=120,"J+2",IF(D45*1440&lt;=240,"J+4",IF(D45*1440&lt;=360,"J+6",IF(D45*1440&lt;=480,"J+8","8以上"))))))</f>
        <v/>
      </c>
    </row>
    <row r="46" customFormat="false" ht="30" hidden="false" customHeight="true" outlineLevel="0" collapsed="false">
      <c r="A46" s="35"/>
      <c r="B46" s="36"/>
      <c r="C46" s="37"/>
      <c r="D46" s="38" t="str">
        <f aca="false">IF(OR(B46="",C46=""),"",ROUND((IF(C46&lt;1,INT(B46)+C46,C46)-B46)*1440,0)/1440)</f>
        <v/>
      </c>
      <c r="E46" s="39" t="str">
        <f aca="false">IF(D46="","",IF(D46&lt;0,"打日期",IF(D46*1440&lt;=120,"J+2",IF(D46*1440&lt;=240,"J+4",IF(D46*1440&lt;=360,"J+6",IF(D46*1440&lt;=480,"J+8","8以上"))))))</f>
        <v/>
      </c>
    </row>
    <row r="47" customFormat="false" ht="30" hidden="false" customHeight="true" outlineLevel="0" collapsed="false">
      <c r="A47" s="35"/>
      <c r="B47" s="36"/>
      <c r="C47" s="37"/>
      <c r="D47" s="38" t="str">
        <f aca="false">IF(OR(B47="",C47=""),"",ROUND((IF(C47&lt;1,INT(B47)+C47,C47)-B47)*1440,0)/1440)</f>
        <v/>
      </c>
      <c r="E47" s="39" t="str">
        <f aca="false">IF(D47="","",IF(D47&lt;0,"打日期",IF(D47*1440&lt;=120,"J+2",IF(D47*1440&lt;=240,"J+4",IF(D47*1440&lt;=360,"J+6",IF(D47*1440&lt;=480,"J+8","8以上"))))))</f>
        <v/>
      </c>
    </row>
    <row r="48" customFormat="false" ht="30" hidden="false" customHeight="true" outlineLevel="0" collapsed="false">
      <c r="A48" s="35"/>
      <c r="B48" s="36"/>
      <c r="C48" s="37"/>
      <c r="D48" s="38" t="str">
        <f aca="false">IF(OR(B48="",C48=""),"",ROUND((IF(C48&lt;1,INT(B48)+C48,C48)-B48)*1440,0)/1440)</f>
        <v/>
      </c>
      <c r="E48" s="39" t="str">
        <f aca="false">IF(D48="","",IF(D48&lt;0,"打日期",IF(D48*1440&lt;=120,"J+2",IF(D48*1440&lt;=240,"J+4",IF(D48*1440&lt;=360,"J+6",IF(D48*1440&lt;=480,"J+8","8以上"))))))</f>
        <v/>
      </c>
    </row>
    <row r="49" customFormat="false" ht="30" hidden="false" customHeight="true" outlineLevel="0" collapsed="false">
      <c r="A49" s="35"/>
      <c r="B49" s="36"/>
      <c r="C49" s="37"/>
      <c r="D49" s="38" t="str">
        <f aca="false">IF(OR(B49="",C49=""),"",ROUND((IF(C49&lt;1,INT(B49)+C49,C49)-B49)*1440,0)/1440)</f>
        <v/>
      </c>
      <c r="E49" s="39" t="str">
        <f aca="false">IF(D49="","",IF(D49&lt;0,"打日期",IF(D49*1440&lt;=120,"J+2",IF(D49*1440&lt;=240,"J+4",IF(D49*1440&lt;=360,"J+6",IF(D49*1440&lt;=480,"J+8","8以上"))))))</f>
        <v/>
      </c>
    </row>
    <row r="50" customFormat="false" ht="30" hidden="false" customHeight="true" outlineLevel="0" collapsed="false">
      <c r="A50" s="35"/>
      <c r="B50" s="36"/>
      <c r="C50" s="37"/>
      <c r="D50" s="38" t="str">
        <f aca="false">IF(OR(B50="",C50=""),"",ROUND((IF(C50&lt;1,INT(B50)+C50,C50)-B50)*1440,0)/1440)</f>
        <v/>
      </c>
      <c r="E50" s="39" t="str">
        <f aca="false">IF(D50="","",IF(D50&lt;0,"打日期",IF(D50*1440&lt;=120,"J+2",IF(D50*1440&lt;=240,"J+4",IF(D50*1440&lt;=360,"J+6",IF(D50*1440&lt;=480,"J+8","8以上"))))))</f>
        <v/>
      </c>
    </row>
    <row r="51" customFormat="false" ht="30" hidden="false" customHeight="true" outlineLevel="0" collapsed="false">
      <c r="A51" s="35"/>
      <c r="B51" s="36"/>
      <c r="C51" s="37"/>
      <c r="D51" s="38" t="str">
        <f aca="false">IF(OR(B51="",C51=""),"",ROUND((IF(C51&lt;1,INT(B51)+C51,C51)-B51)*1440,0)/1440)</f>
        <v/>
      </c>
      <c r="E51" s="39" t="str">
        <f aca="false">IF(D51="","",IF(D51&lt;0,"打日期",IF(D51*1440&lt;=120,"J+2",IF(D51*1440&lt;=240,"J+4",IF(D51*1440&lt;=360,"J+6",IF(D51*1440&lt;=480,"J+8","8以上"))))))</f>
        <v/>
      </c>
    </row>
    <row r="52" customFormat="false" ht="30" hidden="false" customHeight="true" outlineLevel="0" collapsed="false">
      <c r="A52" s="35"/>
      <c r="B52" s="36"/>
      <c r="C52" s="37"/>
      <c r="D52" s="38" t="str">
        <f aca="false">IF(OR(B52="",C52=""),"",ROUND((IF(C52&lt;1,INT(B52)+C52,C52)-B52)*1440,0)/1440)</f>
        <v/>
      </c>
      <c r="E52" s="39" t="str">
        <f aca="false">IF(D52="","",IF(D52&lt;0,"打日期",IF(D52*1440&lt;=120,"J+2",IF(D52*1440&lt;=240,"J+4",IF(D52*1440&lt;=360,"J+6",IF(D52*1440&lt;=480,"J+8","8以上"))))))</f>
        <v/>
      </c>
    </row>
    <row r="53" customFormat="false" ht="30" hidden="false" customHeight="true" outlineLevel="0" collapsed="false">
      <c r="A53" s="35"/>
      <c r="B53" s="36"/>
      <c r="C53" s="37"/>
      <c r="D53" s="38" t="str">
        <f aca="false">IF(OR(B53="",C53=""),"",ROUND((IF(C53&lt;1,INT(B53)+C53,C53)-B53)*1440,0)/1440)</f>
        <v/>
      </c>
      <c r="E53" s="39" t="str">
        <f aca="false">IF(D53="","",IF(D53&lt;0,"打日期",IF(D53*1440&lt;=120,"J+2",IF(D53*1440&lt;=240,"J+4",IF(D53*1440&lt;=360,"J+6",IF(D53*1440&lt;=480,"J+8","8以上"))))))</f>
        <v/>
      </c>
    </row>
    <row r="54" customFormat="false" ht="30" hidden="false" customHeight="true" outlineLevel="0" collapsed="false">
      <c r="A54" s="35"/>
      <c r="B54" s="36"/>
      <c r="C54" s="37"/>
      <c r="D54" s="38" t="str">
        <f aca="false">IF(OR(B54="",C54=""),"",ROUND((IF(C54&lt;1,INT(B54)+C54,C54)-B54)*1440,0)/1440)</f>
        <v/>
      </c>
      <c r="E54" s="39" t="str">
        <f aca="false">IF(D54="","",IF(D54&lt;0,"打日期",IF(D54*1440&lt;=120,"J+2",IF(D54*1440&lt;=240,"J+4",IF(D54*1440&lt;=360,"J+6",IF(D54*1440&lt;=480,"J+8","8以上"))))))</f>
        <v/>
      </c>
    </row>
    <row r="55" customFormat="false" ht="30" hidden="false" customHeight="true" outlineLevel="0" collapsed="false">
      <c r="A55" s="35"/>
      <c r="B55" s="36"/>
      <c r="C55" s="37"/>
      <c r="D55" s="38" t="str">
        <f aca="false">IF(OR(B55="",C55=""),"",ROUND((IF(C55&lt;1,INT(B55)+C55,C55)-B55)*1440,0)/1440)</f>
        <v/>
      </c>
      <c r="E55" s="39" t="str">
        <f aca="false">IF(D55="","",IF(D55&lt;0,"打日期",IF(D55*1440&lt;=120,"J+2",IF(D55*1440&lt;=240,"J+4",IF(D55*1440&lt;=360,"J+6",IF(D55*1440&lt;=480,"J+8","8以上"))))))</f>
        <v/>
      </c>
    </row>
    <row r="56" customFormat="false" ht="30" hidden="false" customHeight="true" outlineLevel="0" collapsed="false">
      <c r="A56" s="35"/>
      <c r="B56" s="36"/>
      <c r="C56" s="37"/>
      <c r="D56" s="38" t="str">
        <f aca="false">IF(OR(B56="",C56=""),"",ROUND((IF(C56&lt;1,INT(B56)+C56,C56)-B56)*1440,0)/1440)</f>
        <v/>
      </c>
      <c r="E56" s="39" t="str">
        <f aca="false">IF(D56="","",IF(D56&lt;0,"打日期",IF(D56*1440&lt;=120,"J+2",IF(D56*1440&lt;=240,"J+4",IF(D56*1440&lt;=360,"J+6",IF(D56*1440&lt;=480,"J+8","8以上"))))))</f>
        <v/>
      </c>
    </row>
    <row r="57" customFormat="false" ht="30" hidden="false" customHeight="true" outlineLevel="0" collapsed="false">
      <c r="A57" s="35"/>
      <c r="B57" s="36"/>
      <c r="C57" s="37"/>
      <c r="D57" s="38" t="str">
        <f aca="false">IF(OR(B57="",C57=""),"",ROUND((IF(C57&lt;1,INT(B57)+C57,C57)-B57)*1440,0)/1440)</f>
        <v/>
      </c>
      <c r="E57" s="39" t="str">
        <f aca="false">IF(D57="","",IF(D57&lt;0,"打日期",IF(D57*1440&lt;=120,"J+2",IF(D57*1440&lt;=240,"J+4",IF(D57*1440&lt;=360,"J+6",IF(D57*1440&lt;=480,"J+8","8以上"))))))</f>
        <v/>
      </c>
    </row>
    <row r="58" customFormat="false" ht="75" hidden="false" customHeight="true" outlineLevel="0" collapsed="false">
      <c r="A58" s="40" t="s">
        <v>37</v>
      </c>
      <c r="B58" s="40"/>
      <c r="C58" s="40"/>
      <c r="D58" s="40"/>
      <c r="E58" s="40"/>
    </row>
    <row r="60" customFormat="false" ht="21" hidden="false" customHeight="true" outlineLevel="0" collapsed="false">
      <c r="A60" s="41" t="s">
        <v>35</v>
      </c>
      <c r="C60" s="41" t="s">
        <v>28</v>
      </c>
    </row>
    <row r="61" customFormat="false" ht="39.75" hidden="false" customHeight="true" outlineLevel="0" collapsed="false">
      <c r="A61" s="33" t="str">
        <f aca="false">"中和郵務股"&amp;'07'!$G$2&amp;'07'!$H$2&amp;"份 轉口 快捷郵遞時效表"</f>
        <v>中和郵務股115年7月份 轉口 快捷郵遞時效表</v>
      </c>
      <c r="B61" s="33"/>
      <c r="C61" s="33"/>
      <c r="D61" s="33"/>
      <c r="E61" s="33"/>
    </row>
    <row r="62" customFormat="false" ht="30" hidden="false" customHeight="true" outlineLevel="0" collapsed="false">
      <c r="A62" s="34" t="s">
        <v>29</v>
      </c>
      <c r="B62" s="34" t="s">
        <v>30</v>
      </c>
      <c r="C62" s="34" t="s">
        <v>31</v>
      </c>
      <c r="D62" s="34" t="s">
        <v>32</v>
      </c>
      <c r="E62" s="34" t="s">
        <v>33</v>
      </c>
    </row>
    <row r="63" customFormat="false" ht="30" hidden="false" customHeight="true" outlineLevel="0" collapsed="false">
      <c r="A63" s="35"/>
      <c r="B63" s="36"/>
      <c r="C63" s="37"/>
      <c r="D63" s="38" t="str">
        <f aca="false">IF(OR(B63="",C63=""),"",ROUND((IF(C63&lt;1,INT(B63)+C63,C63)-B63)*1440,0)/1440)</f>
        <v/>
      </c>
      <c r="E63" s="39" t="str">
        <f aca="false">IF(D63="","",IF(D63&lt;0,"打日期",IF(D63*1440&lt;=120,"J+2",IF(D63*1440&lt;=240,"J+4",IF(D63*1440&lt;=360,"J+6",IF(D63*1440&lt;=480,"J+8","8以上"))))))</f>
        <v/>
      </c>
    </row>
    <row r="64" customFormat="false" ht="30" hidden="false" customHeight="true" outlineLevel="0" collapsed="false">
      <c r="A64" s="35"/>
      <c r="B64" s="36"/>
      <c r="C64" s="37"/>
      <c r="D64" s="38" t="str">
        <f aca="false">IF(OR(B64="",C64=""),"",ROUND((IF(C64&lt;1,INT(B64)+C64,C64)-B64)*1440,0)/1440)</f>
        <v/>
      </c>
      <c r="E64" s="39" t="str">
        <f aca="false">IF(D64="","",IF(D64&lt;0,"打日期",IF(D64*1440&lt;=120,"J+2",IF(D64*1440&lt;=240,"J+4",IF(D64*1440&lt;=360,"J+6",IF(D64*1440&lt;=480,"J+8","8以上"))))))</f>
        <v/>
      </c>
    </row>
    <row r="65" customFormat="false" ht="30" hidden="false" customHeight="true" outlineLevel="0" collapsed="false">
      <c r="A65" s="35"/>
      <c r="B65" s="36"/>
      <c r="C65" s="37"/>
      <c r="D65" s="38" t="str">
        <f aca="false">IF(OR(B65="",C65=""),"",ROUND((IF(C65&lt;1,INT(B65)+C65,C65)-B65)*1440,0)/1440)</f>
        <v/>
      </c>
      <c r="E65" s="39" t="str">
        <f aca="false">IF(D65="","",IF(D65&lt;0,"打日期",IF(D65*1440&lt;=120,"J+2",IF(D65*1440&lt;=240,"J+4",IF(D65*1440&lt;=360,"J+6",IF(D65*1440&lt;=480,"J+8","8以上"))))))</f>
        <v/>
      </c>
    </row>
    <row r="66" customFormat="false" ht="30" hidden="false" customHeight="true" outlineLevel="0" collapsed="false">
      <c r="A66" s="35"/>
      <c r="B66" s="36"/>
      <c r="C66" s="37"/>
      <c r="D66" s="38" t="str">
        <f aca="false">IF(OR(B66="",C66=""),"",ROUND((IF(C66&lt;1,INT(B66)+C66,C66)-B66)*1440,0)/1440)</f>
        <v/>
      </c>
      <c r="E66" s="39" t="str">
        <f aca="false">IF(D66="","",IF(D66&lt;0,"打日期",IF(D66*1440&lt;=120,"J+2",IF(D66*1440&lt;=240,"J+4",IF(D66*1440&lt;=360,"J+6",IF(D66*1440&lt;=480,"J+8","8以上"))))))</f>
        <v/>
      </c>
    </row>
    <row r="67" customFormat="false" ht="30" hidden="false" customHeight="true" outlineLevel="0" collapsed="false">
      <c r="A67" s="35"/>
      <c r="B67" s="36"/>
      <c r="C67" s="37"/>
      <c r="D67" s="38" t="str">
        <f aca="false">IF(OR(B67="",C67=""),"",ROUND((IF(C67&lt;1,INT(B67)+C67,C67)-B67)*1440,0)/1440)</f>
        <v/>
      </c>
      <c r="E67" s="39" t="str">
        <f aca="false">IF(D67="","",IF(D67&lt;0,"打日期",IF(D67*1440&lt;=120,"J+2",IF(D67*1440&lt;=240,"J+4",IF(D67*1440&lt;=360,"J+6",IF(D67*1440&lt;=480,"J+8","8以上"))))))</f>
        <v/>
      </c>
    </row>
    <row r="68" customFormat="false" ht="30" hidden="false" customHeight="true" outlineLevel="0" collapsed="false">
      <c r="A68" s="35"/>
      <c r="B68" s="36"/>
      <c r="C68" s="37"/>
      <c r="D68" s="38" t="str">
        <f aca="false">IF(OR(B68="",C68=""),"",ROUND((IF(C68&lt;1,INT(B68)+C68,C68)-B68)*1440,0)/1440)</f>
        <v/>
      </c>
      <c r="E68" s="39" t="str">
        <f aca="false">IF(D68="","",IF(D68&lt;0,"打日期",IF(D68*1440&lt;=120,"J+2",IF(D68*1440&lt;=240,"J+4",IF(D68*1440&lt;=360,"J+6",IF(D68*1440&lt;=480,"J+8","8以上"))))))</f>
        <v/>
      </c>
    </row>
    <row r="69" customFormat="false" ht="30" hidden="false" customHeight="true" outlineLevel="0" collapsed="false">
      <c r="A69" s="35"/>
      <c r="B69" s="36"/>
      <c r="C69" s="37"/>
      <c r="D69" s="38" t="str">
        <f aca="false">IF(OR(B69="",C69=""),"",ROUND((IF(C69&lt;1,INT(B69)+C69,C69)-B69)*1440,0)/1440)</f>
        <v/>
      </c>
      <c r="E69" s="39" t="str">
        <f aca="false">IF(D69="","",IF(D69&lt;0,"打日期",IF(D69*1440&lt;=120,"J+2",IF(D69*1440&lt;=240,"J+4",IF(D69*1440&lt;=360,"J+6",IF(D69*1440&lt;=480,"J+8","8以上"))))))</f>
        <v/>
      </c>
    </row>
    <row r="70" customFormat="false" ht="30" hidden="false" customHeight="true" outlineLevel="0" collapsed="false">
      <c r="A70" s="35"/>
      <c r="B70" s="36"/>
      <c r="C70" s="37"/>
      <c r="D70" s="38" t="str">
        <f aca="false">IF(OR(B70="",C70=""),"",ROUND((IF(C70&lt;1,INT(B70)+C70,C70)-B70)*1440,0)/1440)</f>
        <v/>
      </c>
      <c r="E70" s="39" t="str">
        <f aca="false">IF(D70="","",IF(D70&lt;0,"打日期",IF(D70*1440&lt;=120,"J+2",IF(D70*1440&lt;=240,"J+4",IF(D70*1440&lt;=360,"J+6",IF(D70*1440&lt;=480,"J+8","8以上"))))))</f>
        <v/>
      </c>
    </row>
    <row r="71" customFormat="false" ht="30" hidden="false" customHeight="true" outlineLevel="0" collapsed="false">
      <c r="A71" s="35"/>
      <c r="B71" s="36"/>
      <c r="C71" s="37"/>
      <c r="D71" s="38" t="str">
        <f aca="false">IF(OR(B71="",C71=""),"",ROUND((IF(C71&lt;1,INT(B71)+C71,C71)-B71)*1440,0)/1440)</f>
        <v/>
      </c>
      <c r="E71" s="39" t="str">
        <f aca="false">IF(D71="","",IF(D71&lt;0,"打日期",IF(D71*1440&lt;=120,"J+2",IF(D71*1440&lt;=240,"J+4",IF(D71*1440&lt;=360,"J+6",IF(D71*1440&lt;=480,"J+8","8以上"))))))</f>
        <v/>
      </c>
    </row>
    <row r="72" customFormat="false" ht="30" hidden="false" customHeight="true" outlineLevel="0" collapsed="false">
      <c r="A72" s="35"/>
      <c r="B72" s="36"/>
      <c r="C72" s="37"/>
      <c r="D72" s="38" t="str">
        <f aca="false">IF(OR(B72="",C72=""),"",ROUND((IF(C72&lt;1,INT(B72)+C72,C72)-B72)*1440,0)/1440)</f>
        <v/>
      </c>
      <c r="E72" s="39" t="str">
        <f aca="false">IF(D72="","",IF(D72&lt;0,"打日期",IF(D72*1440&lt;=120,"J+2",IF(D72*1440&lt;=240,"J+4",IF(D72*1440&lt;=360,"J+6",IF(D72*1440&lt;=480,"J+8","8以上"))))))</f>
        <v/>
      </c>
    </row>
    <row r="73" customFormat="false" ht="30" hidden="false" customHeight="true" outlineLevel="0" collapsed="false">
      <c r="A73" s="35"/>
      <c r="B73" s="36"/>
      <c r="C73" s="37"/>
      <c r="D73" s="38" t="str">
        <f aca="false">IF(OR(B73="",C73=""),"",ROUND((IF(C73&lt;1,INT(B73)+C73,C73)-B73)*1440,0)/1440)</f>
        <v/>
      </c>
      <c r="E73" s="39" t="str">
        <f aca="false">IF(D73="","",IF(D73&lt;0,"打日期",IF(D73*1440&lt;=120,"J+2",IF(D73*1440&lt;=240,"J+4",IF(D73*1440&lt;=360,"J+6",IF(D73*1440&lt;=480,"J+8","8以上"))))))</f>
        <v/>
      </c>
    </row>
    <row r="74" customFormat="false" ht="30" hidden="false" customHeight="true" outlineLevel="0" collapsed="false">
      <c r="A74" s="35"/>
      <c r="B74" s="36"/>
      <c r="C74" s="37"/>
      <c r="D74" s="38" t="str">
        <f aca="false">IF(OR(B74="",C74=""),"",ROUND((IF(C74&lt;1,INT(B74)+C74,C74)-B74)*1440,0)/1440)</f>
        <v/>
      </c>
      <c r="E74" s="39" t="str">
        <f aca="false">IF(D74="","",IF(D74&lt;0,"打日期",IF(D74*1440&lt;=120,"J+2",IF(D74*1440&lt;=240,"J+4",IF(D74*1440&lt;=360,"J+6",IF(D74*1440&lt;=480,"J+8","8以上"))))))</f>
        <v/>
      </c>
    </row>
    <row r="75" customFormat="false" ht="30" hidden="false" customHeight="true" outlineLevel="0" collapsed="false">
      <c r="A75" s="35"/>
      <c r="B75" s="36"/>
      <c r="C75" s="37"/>
      <c r="D75" s="38" t="str">
        <f aca="false">IF(OR(B75="",C75=""),"",ROUND((IF(C75&lt;1,INT(B75)+C75,C75)-B75)*1440,0)/1440)</f>
        <v/>
      </c>
      <c r="E75" s="39" t="str">
        <f aca="false">IF(D75="","",IF(D75&lt;0,"打日期",IF(D75*1440&lt;=120,"J+2",IF(D75*1440&lt;=240,"J+4",IF(D75*1440&lt;=360,"J+6",IF(D75*1440&lt;=480,"J+8","8以上"))))))</f>
        <v/>
      </c>
    </row>
    <row r="76" customFormat="false" ht="30" hidden="false" customHeight="true" outlineLevel="0" collapsed="false">
      <c r="A76" s="35"/>
      <c r="B76" s="36"/>
      <c r="C76" s="37"/>
      <c r="D76" s="38" t="str">
        <f aca="false">IF(OR(B76="",C76=""),"",ROUND((IF(C76&lt;1,INT(B76)+C76,C76)-B76)*1440,0)/1440)</f>
        <v/>
      </c>
      <c r="E76" s="39" t="str">
        <f aca="false">IF(D76="","",IF(D76&lt;0,"打日期",IF(D76*1440&lt;=120,"J+2",IF(D76*1440&lt;=240,"J+4",IF(D76*1440&lt;=360,"J+6",IF(D76*1440&lt;=480,"J+8","8以上"))))))</f>
        <v/>
      </c>
    </row>
    <row r="77" customFormat="false" ht="30" hidden="false" customHeight="true" outlineLevel="0" collapsed="false">
      <c r="A77" s="35"/>
      <c r="B77" s="36"/>
      <c r="C77" s="37"/>
      <c r="D77" s="38" t="str">
        <f aca="false">IF(OR(B77="",C77=""),"",ROUND((IF(C77&lt;1,INT(B77)+C77,C77)-B77)*1440,0)/1440)</f>
        <v/>
      </c>
      <c r="E77" s="39" t="str">
        <f aca="false">IF(D77="","",IF(D77&lt;0,"打日期",IF(D77*1440&lt;=120,"J+2",IF(D77*1440&lt;=240,"J+4",IF(D77*1440&lt;=360,"J+6",IF(D77*1440&lt;=480,"J+8","8以上"))))))</f>
        <v/>
      </c>
    </row>
    <row r="78" customFormat="false" ht="75" hidden="false" customHeight="true" outlineLevel="0" collapsed="false">
      <c r="A78" s="40" t="s">
        <v>38</v>
      </c>
      <c r="B78" s="40"/>
      <c r="C78" s="40"/>
      <c r="D78" s="40"/>
      <c r="E78" s="40"/>
    </row>
    <row r="80" customFormat="false" ht="21" hidden="false" customHeight="true" outlineLevel="0" collapsed="false">
      <c r="A80" s="41" t="s">
        <v>35</v>
      </c>
      <c r="C80" s="41" t="s">
        <v>28</v>
      </c>
    </row>
  </sheetData>
  <mergeCells count="8">
    <mergeCell ref="A1:E1"/>
    <mergeCell ref="A18:E18"/>
    <mergeCell ref="A21:E21"/>
    <mergeCell ref="A38:E38"/>
    <mergeCell ref="A41:E41"/>
    <mergeCell ref="A58:E58"/>
    <mergeCell ref="A61:E61"/>
    <mergeCell ref="A78:E78"/>
  </mergeCells>
  <printOptions headings="false" gridLines="false" gridLinesSet="true" horizontalCentered="true" verticalCentered="false"/>
  <pageMargins left="0.5" right="0.5" top="0.5" bottom="0.5" header="0.511811023622047" footer="0.511811023622047"/>
  <pageSetup paperSize="9" scale="9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3" manualBreakCount="3">
    <brk id="20" man="true" max="16383" min="0"/>
    <brk id="40" man="true" max="16383" min="0"/>
    <brk id="60" man="true" max="16383" min="0"/>
  </rowBreak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true"/>
  </sheetPr>
  <dimension ref="A1:O1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J6" activeCellId="0" sqref="J6"/>
    </sheetView>
  </sheetViews>
  <sheetFormatPr defaultColWidth="8.87890625" defaultRowHeight="16.5" zeroHeight="false" outlineLevelRow="0" outlineLevelCol="0"/>
  <cols>
    <col collapsed="false" customWidth="true" hidden="false" outlineLevel="0" max="1" min="1" style="1" width="2.75"/>
    <col collapsed="false" customWidth="true" hidden="false" outlineLevel="0" max="2" min="2" style="1" width="21.5"/>
    <col collapsed="false" customWidth="true" hidden="false" outlineLevel="0" max="15" min="3" style="1" width="11"/>
    <col collapsed="false" customWidth="false" hidden="false" outlineLevel="0" max="16384" min="16" style="1" width="8.88"/>
  </cols>
  <sheetData>
    <row r="1" customFormat="false" ht="43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43.5" hidden="false" customHeight="true" outlineLevel="0" collapsed="false">
      <c r="A2" s="3"/>
      <c r="F2" s="4"/>
      <c r="G2" s="5" t="str">
        <f aca="false">'01'!G2</f>
        <v>115年</v>
      </c>
      <c r="H2" s="6" t="s">
        <v>45</v>
      </c>
      <c r="I2" s="4"/>
    </row>
    <row r="3" customFormat="false" ht="48.75" hidden="false" customHeight="true" outlineLevel="0" collapsed="false">
      <c r="A3" s="7" t="s">
        <v>3</v>
      </c>
      <c r="B3" s="7"/>
      <c r="C3" s="8" t="s">
        <v>4</v>
      </c>
      <c r="D3" s="9" t="s">
        <v>5</v>
      </c>
      <c r="E3" s="10" t="s">
        <v>6</v>
      </c>
      <c r="F3" s="9" t="s">
        <v>7</v>
      </c>
      <c r="G3" s="10" t="s">
        <v>8</v>
      </c>
      <c r="H3" s="9" t="s">
        <v>9</v>
      </c>
      <c r="I3" s="10" t="s">
        <v>10</v>
      </c>
      <c r="J3" s="9" t="s">
        <v>11</v>
      </c>
      <c r="K3" s="10" t="s">
        <v>12</v>
      </c>
      <c r="L3" s="9" t="s">
        <v>13</v>
      </c>
      <c r="M3" s="10" t="s">
        <v>14</v>
      </c>
      <c r="N3" s="11" t="s">
        <v>15</v>
      </c>
      <c r="O3" s="8" t="s">
        <v>16</v>
      </c>
    </row>
    <row r="4" customFormat="false" ht="50.25" hidden="false" customHeight="true" outlineLevel="0" collapsed="false">
      <c r="A4" s="12" t="s">
        <v>17</v>
      </c>
      <c r="B4" s="12"/>
      <c r="C4" s="13" t="n">
        <f aca="false">D4+F4+H4+J4+L4</f>
        <v>0</v>
      </c>
      <c r="D4" s="14" t="n">
        <f aca="false">COUNTIF(08子本!$E$3:$E$17,"J+2")</f>
        <v>0</v>
      </c>
      <c r="E4" s="15" t="str">
        <f aca="false">IF($C4=0,"",D4/$C4)</f>
        <v/>
      </c>
      <c r="F4" s="14" t="n">
        <f aca="false">COUNTIF(08子本!$E$3:$E$17,"J+4")</f>
        <v>0</v>
      </c>
      <c r="G4" s="15" t="str">
        <f aca="false">IF($C4=0,"",F4/$C4)</f>
        <v/>
      </c>
      <c r="H4" s="14" t="n">
        <f aca="false">COUNTIF(08子本!$E$3:$E$17,"J+6")</f>
        <v>0</v>
      </c>
      <c r="I4" s="15" t="str">
        <f aca="false">IF($C4=0,"",H4/$C4)</f>
        <v/>
      </c>
      <c r="J4" s="14" t="n">
        <f aca="false">COUNTIF(08子本!$E$3:$E$17,"J+8")</f>
        <v>0</v>
      </c>
      <c r="K4" s="15" t="str">
        <f aca="false">IF($C4=0,"",J4/$C4)</f>
        <v/>
      </c>
      <c r="L4" s="14" t="n">
        <f aca="false">COUNTIF(08子本!$E$3:$E$17,"8以上")</f>
        <v>0</v>
      </c>
      <c r="M4" s="15" t="str">
        <f aca="false">IF($C4=0,"",L4/$C4)</f>
        <v/>
      </c>
      <c r="N4" s="16" t="n">
        <v>1</v>
      </c>
      <c r="O4" s="17" t="str">
        <f aca="false">IF($C4=0,"",(D4*2+F4*4+H4*6+J4*8+L4*8)/$C4)</f>
        <v/>
      </c>
    </row>
    <row r="5" customFormat="false" ht="50.25" hidden="false" customHeight="true" outlineLevel="0" collapsed="false">
      <c r="A5" s="12" t="s">
        <v>18</v>
      </c>
      <c r="B5" s="12"/>
      <c r="C5" s="13" t="n">
        <f aca="false">D5+F5+H5+J5+L5</f>
        <v>0</v>
      </c>
      <c r="D5" s="14" t="n">
        <f aca="false">COUNTIF(08子本!$E$23:$E$37,"J+2")</f>
        <v>0</v>
      </c>
      <c r="E5" s="15" t="str">
        <f aca="false">IF($C5=0,"",D5/$C5)</f>
        <v/>
      </c>
      <c r="F5" s="14" t="n">
        <f aca="false">COUNTIF(08子本!$E$23:$E$37,"J+4")</f>
        <v>0</v>
      </c>
      <c r="G5" s="15" t="str">
        <f aca="false">IF($C5=0,"",F5/$C5)</f>
        <v/>
      </c>
      <c r="H5" s="14" t="n">
        <f aca="false">COUNTIF(08子本!$E$23:$E$37,"J+6")</f>
        <v>0</v>
      </c>
      <c r="I5" s="15" t="str">
        <f aca="false">IF($C5=0,"",H5/$C5)</f>
        <v/>
      </c>
      <c r="J5" s="14" t="n">
        <f aca="false">COUNTIF(08子本!$E$23:$E$37,"J+8")</f>
        <v>0</v>
      </c>
      <c r="K5" s="15" t="str">
        <f aca="false">IF($C5=0,"",J5/$C5)</f>
        <v/>
      </c>
      <c r="L5" s="14" t="n">
        <f aca="false">COUNTIF(08子本!$E$23:$E$37,"8以上")</f>
        <v>0</v>
      </c>
      <c r="M5" s="15" t="str">
        <f aca="false">IF($C5=0,"",L5/$C5)</f>
        <v/>
      </c>
      <c r="N5" s="16" t="n">
        <v>1</v>
      </c>
      <c r="O5" s="17" t="str">
        <f aca="false">IF($C5=0,"",(D5*2+F5*4+H5*6+J5*8+L5*8)/$C5)</f>
        <v/>
      </c>
    </row>
    <row r="6" customFormat="false" ht="54.75" hidden="false" customHeight="true" outlineLevel="0" collapsed="false">
      <c r="A6" s="18" t="s">
        <v>19</v>
      </c>
      <c r="B6" s="18"/>
      <c r="C6" s="13" t="n">
        <f aca="false">D6+F6+H6+J6+L6</f>
        <v>0</v>
      </c>
      <c r="D6" s="14" t="n">
        <f aca="false">COUNTIF(08子本!$E$43:$E$57,"J+2")</f>
        <v>0</v>
      </c>
      <c r="E6" s="15" t="str">
        <f aca="false">IF($C6=0,"",D6/$C6)</f>
        <v/>
      </c>
      <c r="F6" s="14" t="n">
        <f aca="false">COUNTIF(08子本!$E$43:$E$57,"J+4")</f>
        <v>0</v>
      </c>
      <c r="G6" s="15" t="str">
        <f aca="false">IF($C6=0,"",F6/$C6)</f>
        <v/>
      </c>
      <c r="H6" s="14" t="n">
        <f aca="false">COUNTIF(08子本!$E$43:$E$57,"J+6")</f>
        <v>0</v>
      </c>
      <c r="I6" s="15" t="str">
        <f aca="false">IF($C6=0,"",H6/$C6)</f>
        <v/>
      </c>
      <c r="J6" s="14" t="n">
        <f aca="false">COUNTIF(08子本!$E$43:$E$57,"J+8")</f>
        <v>0</v>
      </c>
      <c r="K6" s="15" t="str">
        <f aca="false">IF($C6=0,"",J6/$C6)</f>
        <v/>
      </c>
      <c r="L6" s="14" t="n">
        <f aca="false">COUNTIF(08子本!$E$43:$E$57,"8以上")</f>
        <v>0</v>
      </c>
      <c r="M6" s="15" t="str">
        <f aca="false">IF($C6=0,"",L6/$C6)</f>
        <v/>
      </c>
      <c r="N6" s="16" t="n">
        <v>1</v>
      </c>
      <c r="O6" s="17" t="str">
        <f aca="false">IF($C6=0,"",(D6*2+F6*4+H6*6+J6*8+L6*8)/$C6)</f>
        <v/>
      </c>
    </row>
    <row r="7" customFormat="false" ht="50.25" hidden="false" customHeight="true" outlineLevel="0" collapsed="false">
      <c r="A7" s="19" t="s">
        <v>20</v>
      </c>
      <c r="B7" s="19"/>
      <c r="C7" s="13" t="n">
        <f aca="false">D7+F7+H7+J7+L7</f>
        <v>0</v>
      </c>
      <c r="D7" s="14" t="n">
        <f aca="false">COUNTIF(08子本!$E$63:$E$77,"J+2")</f>
        <v>0</v>
      </c>
      <c r="E7" s="15" t="str">
        <f aca="false">IF($C7=0,"",D7/$C7)</f>
        <v/>
      </c>
      <c r="F7" s="14" t="n">
        <f aca="false">COUNTIF(08子本!$E$63:$E$77,"J+4")</f>
        <v>0</v>
      </c>
      <c r="G7" s="15" t="str">
        <f aca="false">IF($C7=0,"",F7/$C7)</f>
        <v/>
      </c>
      <c r="H7" s="14" t="n">
        <f aca="false">COUNTIF(08子本!$E$63:$E$77,"J+6")</f>
        <v>0</v>
      </c>
      <c r="I7" s="15" t="str">
        <f aca="false">IF($C7=0,"",H7/$C7)</f>
        <v/>
      </c>
      <c r="J7" s="14" t="n">
        <f aca="false">COUNTIF(08子本!$E$63:$E$77,"J+8")</f>
        <v>0</v>
      </c>
      <c r="K7" s="15" t="str">
        <f aca="false">IF($C7=0,"",J7/$C7)</f>
        <v/>
      </c>
      <c r="L7" s="14" t="n">
        <f aca="false">COUNTIF(08子本!$E$63:$E$77,"8以上")</f>
        <v>0</v>
      </c>
      <c r="M7" s="15" t="str">
        <f aca="false">IF($C7=0,"",L7/$C7)</f>
        <v/>
      </c>
      <c r="N7" s="20" t="n">
        <v>1</v>
      </c>
      <c r="O7" s="17" t="str">
        <f aca="false">IF($C7=0,"",(D7*2+F7*4+H7*6+J7*8+L7*8)/$C7)</f>
        <v/>
      </c>
    </row>
    <row r="8" customFormat="false" ht="21" hidden="false" customHeight="true" outlineLevel="0" collapsed="false">
      <c r="A8" s="21" t="s">
        <v>21</v>
      </c>
      <c r="B8" s="21"/>
      <c r="C8" s="22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</row>
    <row r="9" customFormat="false" ht="60.75" hidden="false" customHeight="true" outlineLevel="0" collapsed="false">
      <c r="A9" s="24" t="n">
        <v>1</v>
      </c>
      <c r="B9" s="25" t="s">
        <v>22</v>
      </c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</row>
    <row r="10" customFormat="false" ht="21" hidden="false" customHeight="true" outlineLevel="0" collapsed="false">
      <c r="A10" s="24" t="n">
        <v>2</v>
      </c>
      <c r="B10" s="26" t="s">
        <v>23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</row>
    <row r="11" customFormat="false" ht="39" hidden="false" customHeight="true" outlineLevel="0" collapsed="false">
      <c r="A11" s="24" t="n">
        <v>3</v>
      </c>
      <c r="B11" s="25" t="s">
        <v>24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customFormat="false" ht="39.75" hidden="false" customHeight="true" outlineLevel="0" collapsed="false">
      <c r="A12" s="24" t="n">
        <v>4</v>
      </c>
      <c r="B12" s="25" t="s">
        <v>25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</row>
    <row r="13" customFormat="false" ht="40.5" hidden="false" customHeight="true" outlineLevel="0" collapsed="false">
      <c r="A13" s="24" t="n">
        <v>5</v>
      </c>
      <c r="B13" s="25" t="s">
        <v>26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</row>
    <row r="14" customFormat="false" ht="21" hidden="false" customHeight="true" outlineLevel="0" collapsed="false">
      <c r="B14" s="27" t="s">
        <v>27</v>
      </c>
      <c r="C14" s="27"/>
      <c r="D14" s="28"/>
      <c r="E14" s="28"/>
      <c r="F14" s="29" t="s">
        <v>28</v>
      </c>
      <c r="G14" s="29"/>
      <c r="H14" s="30"/>
      <c r="I14" s="30"/>
      <c r="J14" s="31"/>
      <c r="K14" s="31"/>
      <c r="O14" s="28"/>
    </row>
  </sheetData>
  <mergeCells count="12">
    <mergeCell ref="A1:M1"/>
    <mergeCell ref="A3:B3"/>
    <mergeCell ref="A4:B4"/>
    <mergeCell ref="A5:B5"/>
    <mergeCell ref="A6:B6"/>
    <mergeCell ref="A7:B7"/>
    <mergeCell ref="A8:B8"/>
    <mergeCell ref="B9:O9"/>
    <mergeCell ref="B10:O10"/>
    <mergeCell ref="B11:O11"/>
    <mergeCell ref="B12:O12"/>
    <mergeCell ref="B13:O13"/>
  </mergeCells>
  <printOptions headings="false" gridLines="false" gridLinesSet="true" horizontalCentered="true" verticalCentered="true"/>
  <pageMargins left="0.157638888888889" right="0.551388888888889" top="0.196527777777778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E5CC"/>
    <pageSetUpPr fitToPage="false"/>
  </sheetPr>
  <dimension ref="A1:E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" defaultRowHeight="21" zeroHeight="false" outlineLevelRow="0" outlineLevelCol="0"/>
  <cols>
    <col collapsed="false" customWidth="true" hidden="false" outlineLevel="0" max="1" min="1" style="32" width="34.63"/>
    <col collapsed="false" customWidth="true" hidden="false" outlineLevel="0" max="3" min="2" style="32" width="17.63"/>
    <col collapsed="false" customWidth="true" hidden="false" outlineLevel="0" max="5" min="4" style="32" width="9.63"/>
    <col collapsed="false" customWidth="false" hidden="false" outlineLevel="0" max="16384" min="6" style="32" width="9"/>
  </cols>
  <sheetData>
    <row r="1" customFormat="false" ht="39.75" hidden="false" customHeight="true" outlineLevel="0" collapsed="false">
      <c r="A1" s="33" t="str">
        <f aca="false">"中和郵務股"&amp;'08'!$G$2&amp;'08'!$H$2&amp;"份 本口 快捷郵遞時效表"</f>
        <v>中和郵務股115年8月份 本口 快捷郵遞時效表</v>
      </c>
      <c r="B1" s="33"/>
      <c r="C1" s="33"/>
      <c r="D1" s="33"/>
      <c r="E1" s="33"/>
    </row>
    <row r="2" customFormat="false" ht="30" hidden="false" customHeight="true" outlineLevel="0" collapsed="false">
      <c r="A2" s="34" t="s">
        <v>29</v>
      </c>
      <c r="B2" s="34" t="s">
        <v>30</v>
      </c>
      <c r="C2" s="34" t="s">
        <v>31</v>
      </c>
      <c r="D2" s="34" t="s">
        <v>32</v>
      </c>
      <c r="E2" s="34" t="s">
        <v>33</v>
      </c>
    </row>
    <row r="3" customFormat="false" ht="30" hidden="false" customHeight="true" outlineLevel="0" collapsed="false">
      <c r="A3" s="35"/>
      <c r="B3" s="36"/>
      <c r="C3" s="37"/>
      <c r="D3" s="38" t="str">
        <f aca="false">IF(OR(B3="",C3=""),"",ROUND((IF(C3&lt;1,INT(B3)+C3,C3)-B3)*1440,0)/1440)</f>
        <v/>
      </c>
      <c r="E3" s="39" t="str">
        <f aca="false">IF(D3="","",IF(D3&lt;0,"打日期",IF(D3*1440&lt;=120,"J+2",IF(D3*1440&lt;=240,"J+4",IF(D3*1440&lt;=360,"J+6",IF(D3*1440&lt;=480,"J+8","8以上"))))))</f>
        <v/>
      </c>
    </row>
    <row r="4" customFormat="false" ht="30" hidden="false" customHeight="true" outlineLevel="0" collapsed="false">
      <c r="A4" s="35"/>
      <c r="B4" s="36"/>
      <c r="C4" s="37"/>
      <c r="D4" s="38" t="str">
        <f aca="false">IF(OR(B4="",C4=""),"",ROUND((IF(C4&lt;1,INT(B4)+C4,C4)-B4)*1440,0)/1440)</f>
        <v/>
      </c>
      <c r="E4" s="39" t="str">
        <f aca="false">IF(D4="","",IF(D4&lt;0,"打日期",IF(D4*1440&lt;=120,"J+2",IF(D4*1440&lt;=240,"J+4",IF(D4*1440&lt;=360,"J+6",IF(D4*1440&lt;=480,"J+8","8以上"))))))</f>
        <v/>
      </c>
    </row>
    <row r="5" customFormat="false" ht="30" hidden="false" customHeight="true" outlineLevel="0" collapsed="false">
      <c r="A5" s="35"/>
      <c r="B5" s="36"/>
      <c r="C5" s="37"/>
      <c r="D5" s="38" t="str">
        <f aca="false">IF(OR(B5="",C5=""),"",ROUND((IF(C5&lt;1,INT(B5)+C5,C5)-B5)*1440,0)/1440)</f>
        <v/>
      </c>
      <c r="E5" s="39" t="str">
        <f aca="false">IF(D5="","",IF(D5&lt;0,"打日期",IF(D5*1440&lt;=120,"J+2",IF(D5*1440&lt;=240,"J+4",IF(D5*1440&lt;=360,"J+6",IF(D5*1440&lt;=480,"J+8","8以上"))))))</f>
        <v/>
      </c>
    </row>
    <row r="6" customFormat="false" ht="30" hidden="false" customHeight="true" outlineLevel="0" collapsed="false">
      <c r="A6" s="35"/>
      <c r="B6" s="36"/>
      <c r="C6" s="37"/>
      <c r="D6" s="38" t="str">
        <f aca="false">IF(OR(B6="",C6=""),"",ROUND((IF(C6&lt;1,INT(B6)+C6,C6)-B6)*1440,0)/1440)</f>
        <v/>
      </c>
      <c r="E6" s="39" t="str">
        <f aca="false">IF(D6="","",IF(D6&lt;0,"打日期",IF(D6*1440&lt;=120,"J+2",IF(D6*1440&lt;=240,"J+4",IF(D6*1440&lt;=360,"J+6",IF(D6*1440&lt;=480,"J+8","8以上"))))))</f>
        <v/>
      </c>
    </row>
    <row r="7" customFormat="false" ht="30" hidden="false" customHeight="true" outlineLevel="0" collapsed="false">
      <c r="A7" s="35"/>
      <c r="B7" s="36"/>
      <c r="C7" s="37"/>
      <c r="D7" s="38" t="str">
        <f aca="false">IF(OR(B7="",C7=""),"",ROUND((IF(C7&lt;1,INT(B7)+C7,C7)-B7)*1440,0)/1440)</f>
        <v/>
      </c>
      <c r="E7" s="39" t="str">
        <f aca="false">IF(D7="","",IF(D7&lt;0,"打日期",IF(D7*1440&lt;=120,"J+2",IF(D7*1440&lt;=240,"J+4",IF(D7*1440&lt;=360,"J+6",IF(D7*1440&lt;=480,"J+8","8以上"))))))</f>
        <v/>
      </c>
    </row>
    <row r="8" customFormat="false" ht="30" hidden="false" customHeight="true" outlineLevel="0" collapsed="false">
      <c r="A8" s="35"/>
      <c r="B8" s="36"/>
      <c r="C8" s="37"/>
      <c r="D8" s="38" t="str">
        <f aca="false">IF(OR(B8="",C8=""),"",ROUND((IF(C8&lt;1,INT(B8)+C8,C8)-B8)*1440,0)/1440)</f>
        <v/>
      </c>
      <c r="E8" s="39" t="str">
        <f aca="false">IF(D8="","",IF(D8&lt;0,"打日期",IF(D8*1440&lt;=120,"J+2",IF(D8*1440&lt;=240,"J+4",IF(D8*1440&lt;=360,"J+6",IF(D8*1440&lt;=480,"J+8","8以上"))))))</f>
        <v/>
      </c>
    </row>
    <row r="9" customFormat="false" ht="30" hidden="false" customHeight="true" outlineLevel="0" collapsed="false">
      <c r="A9" s="35"/>
      <c r="B9" s="36"/>
      <c r="C9" s="37"/>
      <c r="D9" s="38" t="str">
        <f aca="false">IF(OR(B9="",C9=""),"",ROUND((IF(C9&lt;1,INT(B9)+C9,C9)-B9)*1440,0)/1440)</f>
        <v/>
      </c>
      <c r="E9" s="39" t="str">
        <f aca="false">IF(D9="","",IF(D9&lt;0,"打日期",IF(D9*1440&lt;=120,"J+2",IF(D9*1440&lt;=240,"J+4",IF(D9*1440&lt;=360,"J+6",IF(D9*1440&lt;=480,"J+8","8以上"))))))</f>
        <v/>
      </c>
    </row>
    <row r="10" customFormat="false" ht="30" hidden="false" customHeight="true" outlineLevel="0" collapsed="false">
      <c r="A10" s="35"/>
      <c r="B10" s="36"/>
      <c r="C10" s="37"/>
      <c r="D10" s="38" t="str">
        <f aca="false">IF(OR(B10="",C10=""),"",ROUND((IF(C10&lt;1,INT(B10)+C10,C10)-B10)*1440,0)/1440)</f>
        <v/>
      </c>
      <c r="E10" s="39" t="str">
        <f aca="false">IF(D10="","",IF(D10&lt;0,"打日期",IF(D10*1440&lt;=120,"J+2",IF(D10*1440&lt;=240,"J+4",IF(D10*1440&lt;=360,"J+6",IF(D10*1440&lt;=480,"J+8","8以上"))))))</f>
        <v/>
      </c>
    </row>
    <row r="11" customFormat="false" ht="30" hidden="false" customHeight="true" outlineLevel="0" collapsed="false">
      <c r="A11" s="35"/>
      <c r="B11" s="36"/>
      <c r="C11" s="37"/>
      <c r="D11" s="38" t="str">
        <f aca="false">IF(OR(B11="",C11=""),"",ROUND((IF(C11&lt;1,INT(B11)+C11,C11)-B11)*1440,0)/1440)</f>
        <v/>
      </c>
      <c r="E11" s="39" t="str">
        <f aca="false">IF(D11="","",IF(D11&lt;0,"打日期",IF(D11*1440&lt;=120,"J+2",IF(D11*1440&lt;=240,"J+4",IF(D11*1440&lt;=360,"J+6",IF(D11*1440&lt;=480,"J+8","8以上"))))))</f>
        <v/>
      </c>
    </row>
    <row r="12" customFormat="false" ht="30" hidden="false" customHeight="true" outlineLevel="0" collapsed="false">
      <c r="A12" s="35"/>
      <c r="B12" s="36"/>
      <c r="C12" s="37"/>
      <c r="D12" s="38" t="str">
        <f aca="false">IF(OR(B12="",C12=""),"",ROUND((IF(C12&lt;1,INT(B12)+C12,C12)-B12)*1440,0)/1440)</f>
        <v/>
      </c>
      <c r="E12" s="39" t="str">
        <f aca="false">IF(D12="","",IF(D12&lt;0,"打日期",IF(D12*1440&lt;=120,"J+2",IF(D12*1440&lt;=240,"J+4",IF(D12*1440&lt;=360,"J+6",IF(D12*1440&lt;=480,"J+8","8以上"))))))</f>
        <v/>
      </c>
    </row>
    <row r="13" customFormat="false" ht="30" hidden="false" customHeight="true" outlineLevel="0" collapsed="false">
      <c r="A13" s="35"/>
      <c r="B13" s="36"/>
      <c r="C13" s="37"/>
      <c r="D13" s="38" t="str">
        <f aca="false">IF(OR(B13="",C13=""),"",ROUND((IF(C13&lt;1,INT(B13)+C13,C13)-B13)*1440,0)/1440)</f>
        <v/>
      </c>
      <c r="E13" s="39" t="str">
        <f aca="false">IF(D13="","",IF(D13&lt;0,"打日期",IF(D13*1440&lt;=120,"J+2",IF(D13*1440&lt;=240,"J+4",IF(D13*1440&lt;=360,"J+6",IF(D13*1440&lt;=480,"J+8","8以上"))))))</f>
        <v/>
      </c>
    </row>
    <row r="14" customFormat="false" ht="30" hidden="false" customHeight="true" outlineLevel="0" collapsed="false">
      <c r="A14" s="35"/>
      <c r="B14" s="36"/>
      <c r="C14" s="37"/>
      <c r="D14" s="38" t="str">
        <f aca="false">IF(OR(B14="",C14=""),"",ROUND((IF(C14&lt;1,INT(B14)+C14,C14)-B14)*1440,0)/1440)</f>
        <v/>
      </c>
      <c r="E14" s="39" t="str">
        <f aca="false">IF(D14="","",IF(D14&lt;0,"打日期",IF(D14*1440&lt;=120,"J+2",IF(D14*1440&lt;=240,"J+4",IF(D14*1440&lt;=360,"J+6",IF(D14*1440&lt;=480,"J+8","8以上"))))))</f>
        <v/>
      </c>
    </row>
    <row r="15" customFormat="false" ht="30" hidden="false" customHeight="true" outlineLevel="0" collapsed="false">
      <c r="A15" s="35"/>
      <c r="B15" s="36"/>
      <c r="C15" s="37"/>
      <c r="D15" s="38" t="str">
        <f aca="false">IF(OR(B15="",C15=""),"",ROUND((IF(C15&lt;1,INT(B15)+C15,C15)-B15)*1440,0)/1440)</f>
        <v/>
      </c>
      <c r="E15" s="39" t="str">
        <f aca="false">IF(D15="","",IF(D15&lt;0,"打日期",IF(D15*1440&lt;=120,"J+2",IF(D15*1440&lt;=240,"J+4",IF(D15*1440&lt;=360,"J+6",IF(D15*1440&lt;=480,"J+8","8以上"))))))</f>
        <v/>
      </c>
    </row>
    <row r="16" customFormat="false" ht="30" hidden="false" customHeight="true" outlineLevel="0" collapsed="false">
      <c r="A16" s="35"/>
      <c r="B16" s="36"/>
      <c r="C16" s="37"/>
      <c r="D16" s="38" t="str">
        <f aca="false">IF(OR(B16="",C16=""),"",ROUND((IF(C16&lt;1,INT(B16)+C16,C16)-B16)*1440,0)/1440)</f>
        <v/>
      </c>
      <c r="E16" s="39" t="str">
        <f aca="false">IF(D16="","",IF(D16&lt;0,"打日期",IF(D16*1440&lt;=120,"J+2",IF(D16*1440&lt;=240,"J+4",IF(D16*1440&lt;=360,"J+6",IF(D16*1440&lt;=480,"J+8","8以上"))))))</f>
        <v/>
      </c>
    </row>
    <row r="17" customFormat="false" ht="30" hidden="false" customHeight="true" outlineLevel="0" collapsed="false">
      <c r="A17" s="35"/>
      <c r="B17" s="36"/>
      <c r="C17" s="37"/>
      <c r="D17" s="38" t="str">
        <f aca="false">IF(OR(B17="",C17=""),"",ROUND((IF(C17&lt;1,INT(B17)+C17,C17)-B17)*1440,0)/1440)</f>
        <v/>
      </c>
      <c r="E17" s="39" t="str">
        <f aca="false">IF(D17="","",IF(D17&lt;0,"打日期",IF(D17*1440&lt;=120,"J+2",IF(D17*1440&lt;=240,"J+4",IF(D17*1440&lt;=360,"J+6",IF(D17*1440&lt;=480,"J+8","8以上"))))))</f>
        <v/>
      </c>
    </row>
    <row r="18" customFormat="false" ht="75" hidden="false" customHeight="true" outlineLevel="0" collapsed="false">
      <c r="A18" s="40" t="s">
        <v>34</v>
      </c>
      <c r="B18" s="40"/>
      <c r="C18" s="40"/>
      <c r="D18" s="40"/>
      <c r="E18" s="40"/>
    </row>
    <row r="20" customFormat="false" ht="21" hidden="false" customHeight="true" outlineLevel="0" collapsed="false">
      <c r="A20" s="41" t="s">
        <v>35</v>
      </c>
      <c r="C20" s="41" t="s">
        <v>28</v>
      </c>
    </row>
    <row r="21" customFormat="false" ht="39.75" hidden="false" customHeight="true" outlineLevel="0" collapsed="false">
      <c r="A21" s="33" t="str">
        <f aca="false">"中和郵務股"&amp;'08'!$G$2&amp;'08'!$H$2&amp;"份 十大都會區 快捷郵遞時效表"</f>
        <v>中和郵務股115年8月份 十大都會區 快捷郵遞時效表</v>
      </c>
      <c r="B21" s="33"/>
      <c r="C21" s="33"/>
      <c r="D21" s="33"/>
      <c r="E21" s="33"/>
    </row>
    <row r="22" customFormat="false" ht="30" hidden="false" customHeight="true" outlineLevel="0" collapsed="false">
      <c r="A22" s="34" t="s">
        <v>29</v>
      </c>
      <c r="B22" s="34" t="s">
        <v>30</v>
      </c>
      <c r="C22" s="34" t="s">
        <v>31</v>
      </c>
      <c r="D22" s="34" t="s">
        <v>32</v>
      </c>
      <c r="E22" s="34" t="s">
        <v>33</v>
      </c>
    </row>
    <row r="23" customFormat="false" ht="30" hidden="false" customHeight="true" outlineLevel="0" collapsed="false">
      <c r="A23" s="35"/>
      <c r="B23" s="36"/>
      <c r="C23" s="37"/>
      <c r="D23" s="38" t="str">
        <f aca="false">IF(OR(B23="",C23=""),"",ROUND((IF(C23&lt;1,INT(B23)+C23,C23)-B23)*1440,0)/1440)</f>
        <v/>
      </c>
      <c r="E23" s="39" t="str">
        <f aca="false">IF(D23="","",IF(D23&lt;0,"打日期",IF(D23*1440&lt;=120,"J+2",IF(D23*1440&lt;=240,"J+4",IF(D23*1440&lt;=360,"J+6",IF(D23*1440&lt;=480,"J+8","8以上"))))))</f>
        <v/>
      </c>
    </row>
    <row r="24" customFormat="false" ht="30" hidden="false" customHeight="true" outlineLevel="0" collapsed="false">
      <c r="A24" s="35"/>
      <c r="B24" s="36"/>
      <c r="C24" s="37"/>
      <c r="D24" s="38" t="str">
        <f aca="false">IF(OR(B24="",C24=""),"",ROUND((IF(C24&lt;1,INT(B24)+C24,C24)-B24)*1440,0)/1440)</f>
        <v/>
      </c>
      <c r="E24" s="39" t="str">
        <f aca="false">IF(D24="","",IF(D24&lt;0,"打日期",IF(D24*1440&lt;=120,"J+2",IF(D24*1440&lt;=240,"J+4",IF(D24*1440&lt;=360,"J+6",IF(D24*1440&lt;=480,"J+8","8以上"))))))</f>
        <v/>
      </c>
    </row>
    <row r="25" customFormat="false" ht="30" hidden="false" customHeight="true" outlineLevel="0" collapsed="false">
      <c r="A25" s="35"/>
      <c r="B25" s="36"/>
      <c r="C25" s="37"/>
      <c r="D25" s="38" t="str">
        <f aca="false">IF(OR(B25="",C25=""),"",ROUND((IF(C25&lt;1,INT(B25)+C25,C25)-B25)*1440,0)/1440)</f>
        <v/>
      </c>
      <c r="E25" s="39" t="str">
        <f aca="false">IF(D25="","",IF(D25&lt;0,"打日期",IF(D25*1440&lt;=120,"J+2",IF(D25*1440&lt;=240,"J+4",IF(D25*1440&lt;=360,"J+6",IF(D25*1440&lt;=480,"J+8","8以上"))))))</f>
        <v/>
      </c>
    </row>
    <row r="26" customFormat="false" ht="30" hidden="false" customHeight="true" outlineLevel="0" collapsed="false">
      <c r="A26" s="35"/>
      <c r="B26" s="36"/>
      <c r="C26" s="37"/>
      <c r="D26" s="38" t="str">
        <f aca="false">IF(OR(B26="",C26=""),"",ROUND((IF(C26&lt;1,INT(B26)+C26,C26)-B26)*1440,0)/1440)</f>
        <v/>
      </c>
      <c r="E26" s="39" t="str">
        <f aca="false">IF(D26="","",IF(D26&lt;0,"打日期",IF(D26*1440&lt;=120,"J+2",IF(D26*1440&lt;=240,"J+4",IF(D26*1440&lt;=360,"J+6",IF(D26*1440&lt;=480,"J+8","8以上"))))))</f>
        <v/>
      </c>
    </row>
    <row r="27" customFormat="false" ht="30" hidden="false" customHeight="true" outlineLevel="0" collapsed="false">
      <c r="A27" s="35"/>
      <c r="B27" s="36"/>
      <c r="C27" s="37"/>
      <c r="D27" s="38" t="str">
        <f aca="false">IF(OR(B27="",C27=""),"",ROUND((IF(C27&lt;1,INT(B27)+C27,C27)-B27)*1440,0)/1440)</f>
        <v/>
      </c>
      <c r="E27" s="39" t="str">
        <f aca="false">IF(D27="","",IF(D27&lt;0,"打日期",IF(D27*1440&lt;=120,"J+2",IF(D27*1440&lt;=240,"J+4",IF(D27*1440&lt;=360,"J+6",IF(D27*1440&lt;=480,"J+8","8以上"))))))</f>
        <v/>
      </c>
    </row>
    <row r="28" customFormat="false" ht="30" hidden="false" customHeight="true" outlineLevel="0" collapsed="false">
      <c r="A28" s="35"/>
      <c r="B28" s="36"/>
      <c r="C28" s="37"/>
      <c r="D28" s="38" t="str">
        <f aca="false">IF(OR(B28="",C28=""),"",ROUND((IF(C28&lt;1,INT(B28)+C28,C28)-B28)*1440,0)/1440)</f>
        <v/>
      </c>
      <c r="E28" s="39" t="str">
        <f aca="false">IF(D28="","",IF(D28&lt;0,"打日期",IF(D28*1440&lt;=120,"J+2",IF(D28*1440&lt;=240,"J+4",IF(D28*1440&lt;=360,"J+6",IF(D28*1440&lt;=480,"J+8","8以上"))))))</f>
        <v/>
      </c>
    </row>
    <row r="29" customFormat="false" ht="30" hidden="false" customHeight="true" outlineLevel="0" collapsed="false">
      <c r="A29" s="35"/>
      <c r="B29" s="36"/>
      <c r="C29" s="37"/>
      <c r="D29" s="38" t="str">
        <f aca="false">IF(OR(B29="",C29=""),"",ROUND((IF(C29&lt;1,INT(B29)+C29,C29)-B29)*1440,0)/1440)</f>
        <v/>
      </c>
      <c r="E29" s="39" t="str">
        <f aca="false">IF(D29="","",IF(D29&lt;0,"打日期",IF(D29*1440&lt;=120,"J+2",IF(D29*1440&lt;=240,"J+4",IF(D29*1440&lt;=360,"J+6",IF(D29*1440&lt;=480,"J+8","8以上"))))))</f>
        <v/>
      </c>
    </row>
    <row r="30" customFormat="false" ht="30" hidden="false" customHeight="true" outlineLevel="0" collapsed="false">
      <c r="A30" s="35"/>
      <c r="B30" s="36"/>
      <c r="C30" s="37"/>
      <c r="D30" s="38" t="str">
        <f aca="false">IF(OR(B30="",C30=""),"",ROUND((IF(C30&lt;1,INT(B30)+C30,C30)-B30)*1440,0)/1440)</f>
        <v/>
      </c>
      <c r="E30" s="39" t="str">
        <f aca="false">IF(D30="","",IF(D30&lt;0,"打日期",IF(D30*1440&lt;=120,"J+2",IF(D30*1440&lt;=240,"J+4",IF(D30*1440&lt;=360,"J+6",IF(D30*1440&lt;=480,"J+8","8以上"))))))</f>
        <v/>
      </c>
    </row>
    <row r="31" customFormat="false" ht="30" hidden="false" customHeight="true" outlineLevel="0" collapsed="false">
      <c r="A31" s="35"/>
      <c r="B31" s="36"/>
      <c r="C31" s="37"/>
      <c r="D31" s="38" t="str">
        <f aca="false">IF(OR(B31="",C31=""),"",ROUND((IF(C31&lt;1,INT(B31)+C31,C31)-B31)*1440,0)/1440)</f>
        <v/>
      </c>
      <c r="E31" s="39" t="str">
        <f aca="false">IF(D31="","",IF(D31&lt;0,"打日期",IF(D31*1440&lt;=120,"J+2",IF(D31*1440&lt;=240,"J+4",IF(D31*1440&lt;=360,"J+6",IF(D31*1440&lt;=480,"J+8","8以上"))))))</f>
        <v/>
      </c>
    </row>
    <row r="32" customFormat="false" ht="30" hidden="false" customHeight="true" outlineLevel="0" collapsed="false">
      <c r="A32" s="35"/>
      <c r="B32" s="36"/>
      <c r="C32" s="37"/>
      <c r="D32" s="38" t="str">
        <f aca="false">IF(OR(B32="",C32=""),"",ROUND((IF(C32&lt;1,INT(B32)+C32,C32)-B32)*1440,0)/1440)</f>
        <v/>
      </c>
      <c r="E32" s="39" t="str">
        <f aca="false">IF(D32="","",IF(D32&lt;0,"打日期",IF(D32*1440&lt;=120,"J+2",IF(D32*1440&lt;=240,"J+4",IF(D32*1440&lt;=360,"J+6",IF(D32*1440&lt;=480,"J+8","8以上"))))))</f>
        <v/>
      </c>
    </row>
    <row r="33" customFormat="false" ht="30" hidden="false" customHeight="true" outlineLevel="0" collapsed="false">
      <c r="A33" s="35"/>
      <c r="B33" s="36"/>
      <c r="C33" s="37"/>
      <c r="D33" s="38" t="str">
        <f aca="false">IF(OR(B33="",C33=""),"",ROUND((IF(C33&lt;1,INT(B33)+C33,C33)-B33)*1440,0)/1440)</f>
        <v/>
      </c>
      <c r="E33" s="39" t="str">
        <f aca="false">IF(D33="","",IF(D33&lt;0,"打日期",IF(D33*1440&lt;=120,"J+2",IF(D33*1440&lt;=240,"J+4",IF(D33*1440&lt;=360,"J+6",IF(D33*1440&lt;=480,"J+8","8以上"))))))</f>
        <v/>
      </c>
    </row>
    <row r="34" customFormat="false" ht="30" hidden="false" customHeight="true" outlineLevel="0" collapsed="false">
      <c r="A34" s="35"/>
      <c r="B34" s="36"/>
      <c r="C34" s="37"/>
      <c r="D34" s="38" t="str">
        <f aca="false">IF(OR(B34="",C34=""),"",ROUND((IF(C34&lt;1,INT(B34)+C34,C34)-B34)*1440,0)/1440)</f>
        <v/>
      </c>
      <c r="E34" s="39" t="str">
        <f aca="false">IF(D34="","",IF(D34&lt;0,"打日期",IF(D34*1440&lt;=120,"J+2",IF(D34*1440&lt;=240,"J+4",IF(D34*1440&lt;=360,"J+6",IF(D34*1440&lt;=480,"J+8","8以上"))))))</f>
        <v/>
      </c>
    </row>
    <row r="35" customFormat="false" ht="30" hidden="false" customHeight="true" outlineLevel="0" collapsed="false">
      <c r="A35" s="35"/>
      <c r="B35" s="36"/>
      <c r="C35" s="37"/>
      <c r="D35" s="38" t="str">
        <f aca="false">IF(OR(B35="",C35=""),"",ROUND((IF(C35&lt;1,INT(B35)+C35,C35)-B35)*1440,0)/1440)</f>
        <v/>
      </c>
      <c r="E35" s="39" t="str">
        <f aca="false">IF(D35="","",IF(D35&lt;0,"打日期",IF(D35*1440&lt;=120,"J+2",IF(D35*1440&lt;=240,"J+4",IF(D35*1440&lt;=360,"J+6",IF(D35*1440&lt;=480,"J+8","8以上"))))))</f>
        <v/>
      </c>
    </row>
    <row r="36" customFormat="false" ht="30" hidden="false" customHeight="true" outlineLevel="0" collapsed="false">
      <c r="A36" s="35"/>
      <c r="B36" s="36"/>
      <c r="C36" s="37"/>
      <c r="D36" s="38" t="str">
        <f aca="false">IF(OR(B36="",C36=""),"",ROUND((IF(C36&lt;1,INT(B36)+C36,C36)-B36)*1440,0)/1440)</f>
        <v/>
      </c>
      <c r="E36" s="39" t="str">
        <f aca="false">IF(D36="","",IF(D36&lt;0,"打日期",IF(D36*1440&lt;=120,"J+2",IF(D36*1440&lt;=240,"J+4",IF(D36*1440&lt;=360,"J+6",IF(D36*1440&lt;=480,"J+8","8以上"))))))</f>
        <v/>
      </c>
    </row>
    <row r="37" customFormat="false" ht="30" hidden="false" customHeight="true" outlineLevel="0" collapsed="false">
      <c r="A37" s="35"/>
      <c r="B37" s="36"/>
      <c r="C37" s="37"/>
      <c r="D37" s="38" t="str">
        <f aca="false">IF(OR(B37="",C37=""),"",ROUND((IF(C37&lt;1,INT(B37)+C37,C37)-B37)*1440,0)/1440)</f>
        <v/>
      </c>
      <c r="E37" s="39" t="str">
        <f aca="false">IF(D37="","",IF(D37&lt;0,"打日期",IF(D37*1440&lt;=120,"J+2",IF(D37*1440&lt;=240,"J+4",IF(D37*1440&lt;=360,"J+6",IF(D37*1440&lt;=480,"J+8","8以上"))))))</f>
        <v/>
      </c>
    </row>
    <row r="38" customFormat="false" ht="75" hidden="false" customHeight="true" outlineLevel="0" collapsed="false">
      <c r="A38" s="40" t="s">
        <v>36</v>
      </c>
      <c r="B38" s="40"/>
      <c r="C38" s="40"/>
      <c r="D38" s="40"/>
      <c r="E38" s="40"/>
    </row>
    <row r="40" customFormat="false" ht="21" hidden="false" customHeight="true" outlineLevel="0" collapsed="false">
      <c r="A40" s="41" t="s">
        <v>35</v>
      </c>
      <c r="C40" s="41" t="s">
        <v>28</v>
      </c>
    </row>
    <row r="41" customFormat="false" ht="39.75" hidden="false" customHeight="true" outlineLevel="0" collapsed="false">
      <c r="A41" s="33" t="str">
        <f aca="false">"中和郵務股"&amp;'08'!$G$2&amp;'08'!$H$2&amp;"份 區域內互寄 快捷郵遞時效表"</f>
        <v>中和郵務股115年8月份 區域內互寄 快捷郵遞時效表</v>
      </c>
      <c r="B41" s="33"/>
      <c r="C41" s="33"/>
      <c r="D41" s="33"/>
      <c r="E41" s="33"/>
    </row>
    <row r="42" customFormat="false" ht="30" hidden="false" customHeight="true" outlineLevel="0" collapsed="false">
      <c r="A42" s="34" t="s">
        <v>29</v>
      </c>
      <c r="B42" s="34" t="s">
        <v>30</v>
      </c>
      <c r="C42" s="34" t="s">
        <v>31</v>
      </c>
      <c r="D42" s="34" t="s">
        <v>32</v>
      </c>
      <c r="E42" s="34" t="s">
        <v>33</v>
      </c>
    </row>
    <row r="43" customFormat="false" ht="30" hidden="false" customHeight="true" outlineLevel="0" collapsed="false">
      <c r="A43" s="35"/>
      <c r="B43" s="36"/>
      <c r="C43" s="37"/>
      <c r="D43" s="38" t="str">
        <f aca="false">IF(OR(B43="",C43=""),"",ROUND((IF(C43&lt;1,INT(B43)+C43,C43)-B43)*1440,0)/1440)</f>
        <v/>
      </c>
      <c r="E43" s="39" t="str">
        <f aca="false">IF(D43="","",IF(D43&lt;0,"打日期",IF(D43*1440&lt;=120,"J+2",IF(D43*1440&lt;=240,"J+4",IF(D43*1440&lt;=360,"J+6",IF(D43*1440&lt;=480,"J+8","8以上"))))))</f>
        <v/>
      </c>
    </row>
    <row r="44" customFormat="false" ht="30" hidden="false" customHeight="true" outlineLevel="0" collapsed="false">
      <c r="A44" s="35"/>
      <c r="B44" s="36"/>
      <c r="C44" s="37"/>
      <c r="D44" s="38" t="str">
        <f aca="false">IF(OR(B44="",C44=""),"",ROUND((IF(C44&lt;1,INT(B44)+C44,C44)-B44)*1440,0)/1440)</f>
        <v/>
      </c>
      <c r="E44" s="39" t="str">
        <f aca="false">IF(D44="","",IF(D44&lt;0,"打日期",IF(D44*1440&lt;=120,"J+2",IF(D44*1440&lt;=240,"J+4",IF(D44*1440&lt;=360,"J+6",IF(D44*1440&lt;=480,"J+8","8以上"))))))</f>
        <v/>
      </c>
    </row>
    <row r="45" customFormat="false" ht="30" hidden="false" customHeight="true" outlineLevel="0" collapsed="false">
      <c r="A45" s="35"/>
      <c r="B45" s="36"/>
      <c r="C45" s="37"/>
      <c r="D45" s="38" t="str">
        <f aca="false">IF(OR(B45="",C45=""),"",ROUND((IF(C45&lt;1,INT(B45)+C45,C45)-B45)*1440,0)/1440)</f>
        <v/>
      </c>
      <c r="E45" s="39" t="str">
        <f aca="false">IF(D45="","",IF(D45&lt;0,"打日期",IF(D45*1440&lt;=120,"J+2",IF(D45*1440&lt;=240,"J+4",IF(D45*1440&lt;=360,"J+6",IF(D45*1440&lt;=480,"J+8","8以上"))))))</f>
        <v/>
      </c>
    </row>
    <row r="46" customFormat="false" ht="30" hidden="false" customHeight="true" outlineLevel="0" collapsed="false">
      <c r="A46" s="35"/>
      <c r="B46" s="36"/>
      <c r="C46" s="37"/>
      <c r="D46" s="38" t="str">
        <f aca="false">IF(OR(B46="",C46=""),"",ROUND((IF(C46&lt;1,INT(B46)+C46,C46)-B46)*1440,0)/1440)</f>
        <v/>
      </c>
      <c r="E46" s="39" t="str">
        <f aca="false">IF(D46="","",IF(D46&lt;0,"打日期",IF(D46*1440&lt;=120,"J+2",IF(D46*1440&lt;=240,"J+4",IF(D46*1440&lt;=360,"J+6",IF(D46*1440&lt;=480,"J+8","8以上"))))))</f>
        <v/>
      </c>
    </row>
    <row r="47" customFormat="false" ht="30" hidden="false" customHeight="true" outlineLevel="0" collapsed="false">
      <c r="A47" s="35"/>
      <c r="B47" s="36"/>
      <c r="C47" s="37"/>
      <c r="D47" s="38" t="str">
        <f aca="false">IF(OR(B47="",C47=""),"",ROUND((IF(C47&lt;1,INT(B47)+C47,C47)-B47)*1440,0)/1440)</f>
        <v/>
      </c>
      <c r="E47" s="39" t="str">
        <f aca="false">IF(D47="","",IF(D47&lt;0,"打日期",IF(D47*1440&lt;=120,"J+2",IF(D47*1440&lt;=240,"J+4",IF(D47*1440&lt;=360,"J+6",IF(D47*1440&lt;=480,"J+8","8以上"))))))</f>
        <v/>
      </c>
    </row>
    <row r="48" customFormat="false" ht="30" hidden="false" customHeight="true" outlineLevel="0" collapsed="false">
      <c r="A48" s="35"/>
      <c r="B48" s="36"/>
      <c r="C48" s="37"/>
      <c r="D48" s="38" t="str">
        <f aca="false">IF(OR(B48="",C48=""),"",ROUND((IF(C48&lt;1,INT(B48)+C48,C48)-B48)*1440,0)/1440)</f>
        <v/>
      </c>
      <c r="E48" s="39" t="str">
        <f aca="false">IF(D48="","",IF(D48&lt;0,"打日期",IF(D48*1440&lt;=120,"J+2",IF(D48*1440&lt;=240,"J+4",IF(D48*1440&lt;=360,"J+6",IF(D48*1440&lt;=480,"J+8","8以上"))))))</f>
        <v/>
      </c>
    </row>
    <row r="49" customFormat="false" ht="30" hidden="false" customHeight="true" outlineLevel="0" collapsed="false">
      <c r="A49" s="35"/>
      <c r="B49" s="36"/>
      <c r="C49" s="37"/>
      <c r="D49" s="38" t="str">
        <f aca="false">IF(OR(B49="",C49=""),"",ROUND((IF(C49&lt;1,INT(B49)+C49,C49)-B49)*1440,0)/1440)</f>
        <v/>
      </c>
      <c r="E49" s="39" t="str">
        <f aca="false">IF(D49="","",IF(D49&lt;0,"打日期",IF(D49*1440&lt;=120,"J+2",IF(D49*1440&lt;=240,"J+4",IF(D49*1440&lt;=360,"J+6",IF(D49*1440&lt;=480,"J+8","8以上"))))))</f>
        <v/>
      </c>
    </row>
    <row r="50" customFormat="false" ht="30" hidden="false" customHeight="true" outlineLevel="0" collapsed="false">
      <c r="A50" s="35"/>
      <c r="B50" s="36"/>
      <c r="C50" s="37"/>
      <c r="D50" s="38" t="str">
        <f aca="false">IF(OR(B50="",C50=""),"",ROUND((IF(C50&lt;1,INT(B50)+C50,C50)-B50)*1440,0)/1440)</f>
        <v/>
      </c>
      <c r="E50" s="39" t="str">
        <f aca="false">IF(D50="","",IF(D50&lt;0,"打日期",IF(D50*1440&lt;=120,"J+2",IF(D50*1440&lt;=240,"J+4",IF(D50*1440&lt;=360,"J+6",IF(D50*1440&lt;=480,"J+8","8以上"))))))</f>
        <v/>
      </c>
    </row>
    <row r="51" customFormat="false" ht="30" hidden="false" customHeight="true" outlineLevel="0" collapsed="false">
      <c r="A51" s="35"/>
      <c r="B51" s="36"/>
      <c r="C51" s="37"/>
      <c r="D51" s="38" t="str">
        <f aca="false">IF(OR(B51="",C51=""),"",ROUND((IF(C51&lt;1,INT(B51)+C51,C51)-B51)*1440,0)/1440)</f>
        <v/>
      </c>
      <c r="E51" s="39" t="str">
        <f aca="false">IF(D51="","",IF(D51&lt;0,"打日期",IF(D51*1440&lt;=120,"J+2",IF(D51*1440&lt;=240,"J+4",IF(D51*1440&lt;=360,"J+6",IF(D51*1440&lt;=480,"J+8","8以上"))))))</f>
        <v/>
      </c>
    </row>
    <row r="52" customFormat="false" ht="30" hidden="false" customHeight="true" outlineLevel="0" collapsed="false">
      <c r="A52" s="35"/>
      <c r="B52" s="36"/>
      <c r="C52" s="37"/>
      <c r="D52" s="38" t="str">
        <f aca="false">IF(OR(B52="",C52=""),"",ROUND((IF(C52&lt;1,INT(B52)+C52,C52)-B52)*1440,0)/1440)</f>
        <v/>
      </c>
      <c r="E52" s="39" t="str">
        <f aca="false">IF(D52="","",IF(D52&lt;0,"打日期",IF(D52*1440&lt;=120,"J+2",IF(D52*1440&lt;=240,"J+4",IF(D52*1440&lt;=360,"J+6",IF(D52*1440&lt;=480,"J+8","8以上"))))))</f>
        <v/>
      </c>
    </row>
    <row r="53" customFormat="false" ht="30" hidden="false" customHeight="true" outlineLevel="0" collapsed="false">
      <c r="A53" s="35"/>
      <c r="B53" s="36"/>
      <c r="C53" s="37"/>
      <c r="D53" s="38" t="str">
        <f aca="false">IF(OR(B53="",C53=""),"",ROUND((IF(C53&lt;1,INT(B53)+C53,C53)-B53)*1440,0)/1440)</f>
        <v/>
      </c>
      <c r="E53" s="39" t="str">
        <f aca="false">IF(D53="","",IF(D53&lt;0,"打日期",IF(D53*1440&lt;=120,"J+2",IF(D53*1440&lt;=240,"J+4",IF(D53*1440&lt;=360,"J+6",IF(D53*1440&lt;=480,"J+8","8以上"))))))</f>
        <v/>
      </c>
    </row>
    <row r="54" customFormat="false" ht="30" hidden="false" customHeight="true" outlineLevel="0" collapsed="false">
      <c r="A54" s="35"/>
      <c r="B54" s="36"/>
      <c r="C54" s="37"/>
      <c r="D54" s="38" t="str">
        <f aca="false">IF(OR(B54="",C54=""),"",ROUND((IF(C54&lt;1,INT(B54)+C54,C54)-B54)*1440,0)/1440)</f>
        <v/>
      </c>
      <c r="E54" s="39" t="str">
        <f aca="false">IF(D54="","",IF(D54&lt;0,"打日期",IF(D54*1440&lt;=120,"J+2",IF(D54*1440&lt;=240,"J+4",IF(D54*1440&lt;=360,"J+6",IF(D54*1440&lt;=480,"J+8","8以上"))))))</f>
        <v/>
      </c>
    </row>
    <row r="55" customFormat="false" ht="30" hidden="false" customHeight="true" outlineLevel="0" collapsed="false">
      <c r="A55" s="35"/>
      <c r="B55" s="36"/>
      <c r="C55" s="37"/>
      <c r="D55" s="38" t="str">
        <f aca="false">IF(OR(B55="",C55=""),"",ROUND((IF(C55&lt;1,INT(B55)+C55,C55)-B55)*1440,0)/1440)</f>
        <v/>
      </c>
      <c r="E55" s="39" t="str">
        <f aca="false">IF(D55="","",IF(D55&lt;0,"打日期",IF(D55*1440&lt;=120,"J+2",IF(D55*1440&lt;=240,"J+4",IF(D55*1440&lt;=360,"J+6",IF(D55*1440&lt;=480,"J+8","8以上"))))))</f>
        <v/>
      </c>
    </row>
    <row r="56" customFormat="false" ht="30" hidden="false" customHeight="true" outlineLevel="0" collapsed="false">
      <c r="A56" s="35"/>
      <c r="B56" s="36"/>
      <c r="C56" s="37"/>
      <c r="D56" s="38" t="str">
        <f aca="false">IF(OR(B56="",C56=""),"",ROUND((IF(C56&lt;1,INT(B56)+C56,C56)-B56)*1440,0)/1440)</f>
        <v/>
      </c>
      <c r="E56" s="39" t="str">
        <f aca="false">IF(D56="","",IF(D56&lt;0,"打日期",IF(D56*1440&lt;=120,"J+2",IF(D56*1440&lt;=240,"J+4",IF(D56*1440&lt;=360,"J+6",IF(D56*1440&lt;=480,"J+8","8以上"))))))</f>
        <v/>
      </c>
    </row>
    <row r="57" customFormat="false" ht="30" hidden="false" customHeight="true" outlineLevel="0" collapsed="false">
      <c r="A57" s="35"/>
      <c r="B57" s="36"/>
      <c r="C57" s="37"/>
      <c r="D57" s="38" t="str">
        <f aca="false">IF(OR(B57="",C57=""),"",ROUND((IF(C57&lt;1,INT(B57)+C57,C57)-B57)*1440,0)/1440)</f>
        <v/>
      </c>
      <c r="E57" s="39" t="str">
        <f aca="false">IF(D57="","",IF(D57&lt;0,"打日期",IF(D57*1440&lt;=120,"J+2",IF(D57*1440&lt;=240,"J+4",IF(D57*1440&lt;=360,"J+6",IF(D57*1440&lt;=480,"J+8","8以上"))))))</f>
        <v/>
      </c>
    </row>
    <row r="58" customFormat="false" ht="75" hidden="false" customHeight="true" outlineLevel="0" collapsed="false">
      <c r="A58" s="40" t="s">
        <v>37</v>
      </c>
      <c r="B58" s="40"/>
      <c r="C58" s="40"/>
      <c r="D58" s="40"/>
      <c r="E58" s="40"/>
    </row>
    <row r="60" customFormat="false" ht="21" hidden="false" customHeight="true" outlineLevel="0" collapsed="false">
      <c r="A60" s="41" t="s">
        <v>35</v>
      </c>
      <c r="C60" s="41" t="s">
        <v>28</v>
      </c>
    </row>
    <row r="61" customFormat="false" ht="39.75" hidden="false" customHeight="true" outlineLevel="0" collapsed="false">
      <c r="A61" s="33" t="str">
        <f aca="false">"中和郵務股"&amp;'08'!$G$2&amp;'08'!$H$2&amp;"份 轉口 快捷郵遞時效表"</f>
        <v>中和郵務股115年8月份 轉口 快捷郵遞時效表</v>
      </c>
      <c r="B61" s="33"/>
      <c r="C61" s="33"/>
      <c r="D61" s="33"/>
      <c r="E61" s="33"/>
    </row>
    <row r="62" customFormat="false" ht="30" hidden="false" customHeight="true" outlineLevel="0" collapsed="false">
      <c r="A62" s="34" t="s">
        <v>29</v>
      </c>
      <c r="B62" s="34" t="s">
        <v>30</v>
      </c>
      <c r="C62" s="34" t="s">
        <v>31</v>
      </c>
      <c r="D62" s="34" t="s">
        <v>32</v>
      </c>
      <c r="E62" s="34" t="s">
        <v>33</v>
      </c>
    </row>
    <row r="63" customFormat="false" ht="30" hidden="false" customHeight="true" outlineLevel="0" collapsed="false">
      <c r="A63" s="35"/>
      <c r="B63" s="36"/>
      <c r="C63" s="37"/>
      <c r="D63" s="38" t="str">
        <f aca="false">IF(OR(B63="",C63=""),"",ROUND((IF(C63&lt;1,INT(B63)+C63,C63)-B63)*1440,0)/1440)</f>
        <v/>
      </c>
      <c r="E63" s="39" t="str">
        <f aca="false">IF(D63="","",IF(D63&lt;0,"打日期",IF(D63*1440&lt;=120,"J+2",IF(D63*1440&lt;=240,"J+4",IF(D63*1440&lt;=360,"J+6",IF(D63*1440&lt;=480,"J+8","8以上"))))))</f>
        <v/>
      </c>
    </row>
    <row r="64" customFormat="false" ht="30" hidden="false" customHeight="true" outlineLevel="0" collapsed="false">
      <c r="A64" s="35"/>
      <c r="B64" s="36"/>
      <c r="C64" s="37"/>
      <c r="D64" s="38" t="str">
        <f aca="false">IF(OR(B64="",C64=""),"",ROUND((IF(C64&lt;1,INT(B64)+C64,C64)-B64)*1440,0)/1440)</f>
        <v/>
      </c>
      <c r="E64" s="39" t="str">
        <f aca="false">IF(D64="","",IF(D64&lt;0,"打日期",IF(D64*1440&lt;=120,"J+2",IF(D64*1440&lt;=240,"J+4",IF(D64*1440&lt;=360,"J+6",IF(D64*1440&lt;=480,"J+8","8以上"))))))</f>
        <v/>
      </c>
    </row>
    <row r="65" customFormat="false" ht="30" hidden="false" customHeight="true" outlineLevel="0" collapsed="false">
      <c r="A65" s="35"/>
      <c r="B65" s="36"/>
      <c r="C65" s="37"/>
      <c r="D65" s="38" t="str">
        <f aca="false">IF(OR(B65="",C65=""),"",ROUND((IF(C65&lt;1,INT(B65)+C65,C65)-B65)*1440,0)/1440)</f>
        <v/>
      </c>
      <c r="E65" s="39" t="str">
        <f aca="false">IF(D65="","",IF(D65&lt;0,"打日期",IF(D65*1440&lt;=120,"J+2",IF(D65*1440&lt;=240,"J+4",IF(D65*1440&lt;=360,"J+6",IF(D65*1440&lt;=480,"J+8","8以上"))))))</f>
        <v/>
      </c>
    </row>
    <row r="66" customFormat="false" ht="30" hidden="false" customHeight="true" outlineLevel="0" collapsed="false">
      <c r="A66" s="35"/>
      <c r="B66" s="36"/>
      <c r="C66" s="37"/>
      <c r="D66" s="38" t="str">
        <f aca="false">IF(OR(B66="",C66=""),"",ROUND((IF(C66&lt;1,INT(B66)+C66,C66)-B66)*1440,0)/1440)</f>
        <v/>
      </c>
      <c r="E66" s="39" t="str">
        <f aca="false">IF(D66="","",IF(D66&lt;0,"打日期",IF(D66*1440&lt;=120,"J+2",IF(D66*1440&lt;=240,"J+4",IF(D66*1440&lt;=360,"J+6",IF(D66*1440&lt;=480,"J+8","8以上"))))))</f>
        <v/>
      </c>
    </row>
    <row r="67" customFormat="false" ht="30" hidden="false" customHeight="true" outlineLevel="0" collapsed="false">
      <c r="A67" s="35"/>
      <c r="B67" s="36"/>
      <c r="C67" s="37"/>
      <c r="D67" s="38" t="str">
        <f aca="false">IF(OR(B67="",C67=""),"",ROUND((IF(C67&lt;1,INT(B67)+C67,C67)-B67)*1440,0)/1440)</f>
        <v/>
      </c>
      <c r="E67" s="39" t="str">
        <f aca="false">IF(D67="","",IF(D67&lt;0,"打日期",IF(D67*1440&lt;=120,"J+2",IF(D67*1440&lt;=240,"J+4",IF(D67*1440&lt;=360,"J+6",IF(D67*1440&lt;=480,"J+8","8以上"))))))</f>
        <v/>
      </c>
    </row>
    <row r="68" customFormat="false" ht="30" hidden="false" customHeight="true" outlineLevel="0" collapsed="false">
      <c r="A68" s="35"/>
      <c r="B68" s="36"/>
      <c r="C68" s="37"/>
      <c r="D68" s="38" t="str">
        <f aca="false">IF(OR(B68="",C68=""),"",ROUND((IF(C68&lt;1,INT(B68)+C68,C68)-B68)*1440,0)/1440)</f>
        <v/>
      </c>
      <c r="E68" s="39" t="str">
        <f aca="false">IF(D68="","",IF(D68&lt;0,"打日期",IF(D68*1440&lt;=120,"J+2",IF(D68*1440&lt;=240,"J+4",IF(D68*1440&lt;=360,"J+6",IF(D68*1440&lt;=480,"J+8","8以上"))))))</f>
        <v/>
      </c>
    </row>
    <row r="69" customFormat="false" ht="30" hidden="false" customHeight="true" outlineLevel="0" collapsed="false">
      <c r="A69" s="35"/>
      <c r="B69" s="36"/>
      <c r="C69" s="37"/>
      <c r="D69" s="38" t="str">
        <f aca="false">IF(OR(B69="",C69=""),"",ROUND((IF(C69&lt;1,INT(B69)+C69,C69)-B69)*1440,0)/1440)</f>
        <v/>
      </c>
      <c r="E69" s="39" t="str">
        <f aca="false">IF(D69="","",IF(D69&lt;0,"打日期",IF(D69*1440&lt;=120,"J+2",IF(D69*1440&lt;=240,"J+4",IF(D69*1440&lt;=360,"J+6",IF(D69*1440&lt;=480,"J+8","8以上"))))))</f>
        <v/>
      </c>
    </row>
    <row r="70" customFormat="false" ht="30" hidden="false" customHeight="true" outlineLevel="0" collapsed="false">
      <c r="A70" s="35"/>
      <c r="B70" s="36"/>
      <c r="C70" s="37"/>
      <c r="D70" s="38" t="str">
        <f aca="false">IF(OR(B70="",C70=""),"",ROUND((IF(C70&lt;1,INT(B70)+C70,C70)-B70)*1440,0)/1440)</f>
        <v/>
      </c>
      <c r="E70" s="39" t="str">
        <f aca="false">IF(D70="","",IF(D70&lt;0,"打日期",IF(D70*1440&lt;=120,"J+2",IF(D70*1440&lt;=240,"J+4",IF(D70*1440&lt;=360,"J+6",IF(D70*1440&lt;=480,"J+8","8以上"))))))</f>
        <v/>
      </c>
    </row>
    <row r="71" customFormat="false" ht="30" hidden="false" customHeight="true" outlineLevel="0" collapsed="false">
      <c r="A71" s="35"/>
      <c r="B71" s="36"/>
      <c r="C71" s="37"/>
      <c r="D71" s="38" t="str">
        <f aca="false">IF(OR(B71="",C71=""),"",ROUND((IF(C71&lt;1,INT(B71)+C71,C71)-B71)*1440,0)/1440)</f>
        <v/>
      </c>
      <c r="E71" s="39" t="str">
        <f aca="false">IF(D71="","",IF(D71&lt;0,"打日期",IF(D71*1440&lt;=120,"J+2",IF(D71*1440&lt;=240,"J+4",IF(D71*1440&lt;=360,"J+6",IF(D71*1440&lt;=480,"J+8","8以上"))))))</f>
        <v/>
      </c>
    </row>
    <row r="72" customFormat="false" ht="30" hidden="false" customHeight="true" outlineLevel="0" collapsed="false">
      <c r="A72" s="35"/>
      <c r="B72" s="36"/>
      <c r="C72" s="37"/>
      <c r="D72" s="38" t="str">
        <f aca="false">IF(OR(B72="",C72=""),"",ROUND((IF(C72&lt;1,INT(B72)+C72,C72)-B72)*1440,0)/1440)</f>
        <v/>
      </c>
      <c r="E72" s="39" t="str">
        <f aca="false">IF(D72="","",IF(D72&lt;0,"打日期",IF(D72*1440&lt;=120,"J+2",IF(D72*1440&lt;=240,"J+4",IF(D72*1440&lt;=360,"J+6",IF(D72*1440&lt;=480,"J+8","8以上"))))))</f>
        <v/>
      </c>
    </row>
    <row r="73" customFormat="false" ht="30" hidden="false" customHeight="true" outlineLevel="0" collapsed="false">
      <c r="A73" s="35"/>
      <c r="B73" s="36"/>
      <c r="C73" s="37"/>
      <c r="D73" s="38" t="str">
        <f aca="false">IF(OR(B73="",C73=""),"",ROUND((IF(C73&lt;1,INT(B73)+C73,C73)-B73)*1440,0)/1440)</f>
        <v/>
      </c>
      <c r="E73" s="39" t="str">
        <f aca="false">IF(D73="","",IF(D73&lt;0,"打日期",IF(D73*1440&lt;=120,"J+2",IF(D73*1440&lt;=240,"J+4",IF(D73*1440&lt;=360,"J+6",IF(D73*1440&lt;=480,"J+8","8以上"))))))</f>
        <v/>
      </c>
    </row>
    <row r="74" customFormat="false" ht="30" hidden="false" customHeight="true" outlineLevel="0" collapsed="false">
      <c r="A74" s="35"/>
      <c r="B74" s="36"/>
      <c r="C74" s="37"/>
      <c r="D74" s="38" t="str">
        <f aca="false">IF(OR(B74="",C74=""),"",ROUND((IF(C74&lt;1,INT(B74)+C74,C74)-B74)*1440,0)/1440)</f>
        <v/>
      </c>
      <c r="E74" s="39" t="str">
        <f aca="false">IF(D74="","",IF(D74&lt;0,"打日期",IF(D74*1440&lt;=120,"J+2",IF(D74*1440&lt;=240,"J+4",IF(D74*1440&lt;=360,"J+6",IF(D74*1440&lt;=480,"J+8","8以上"))))))</f>
        <v/>
      </c>
    </row>
    <row r="75" customFormat="false" ht="30" hidden="false" customHeight="true" outlineLevel="0" collapsed="false">
      <c r="A75" s="35"/>
      <c r="B75" s="36"/>
      <c r="C75" s="37"/>
      <c r="D75" s="38" t="str">
        <f aca="false">IF(OR(B75="",C75=""),"",ROUND((IF(C75&lt;1,INT(B75)+C75,C75)-B75)*1440,0)/1440)</f>
        <v/>
      </c>
      <c r="E75" s="39" t="str">
        <f aca="false">IF(D75="","",IF(D75&lt;0,"打日期",IF(D75*1440&lt;=120,"J+2",IF(D75*1440&lt;=240,"J+4",IF(D75*1440&lt;=360,"J+6",IF(D75*1440&lt;=480,"J+8","8以上"))))))</f>
        <v/>
      </c>
    </row>
    <row r="76" customFormat="false" ht="30" hidden="false" customHeight="true" outlineLevel="0" collapsed="false">
      <c r="A76" s="35"/>
      <c r="B76" s="36"/>
      <c r="C76" s="37"/>
      <c r="D76" s="38" t="str">
        <f aca="false">IF(OR(B76="",C76=""),"",ROUND((IF(C76&lt;1,INT(B76)+C76,C76)-B76)*1440,0)/1440)</f>
        <v/>
      </c>
      <c r="E76" s="39" t="str">
        <f aca="false">IF(D76="","",IF(D76&lt;0,"打日期",IF(D76*1440&lt;=120,"J+2",IF(D76*1440&lt;=240,"J+4",IF(D76*1440&lt;=360,"J+6",IF(D76*1440&lt;=480,"J+8","8以上"))))))</f>
        <v/>
      </c>
    </row>
    <row r="77" customFormat="false" ht="30" hidden="false" customHeight="true" outlineLevel="0" collapsed="false">
      <c r="A77" s="35"/>
      <c r="B77" s="36"/>
      <c r="C77" s="37"/>
      <c r="D77" s="38" t="str">
        <f aca="false">IF(OR(B77="",C77=""),"",ROUND((IF(C77&lt;1,INT(B77)+C77,C77)-B77)*1440,0)/1440)</f>
        <v/>
      </c>
      <c r="E77" s="39" t="str">
        <f aca="false">IF(D77="","",IF(D77&lt;0,"打日期",IF(D77*1440&lt;=120,"J+2",IF(D77*1440&lt;=240,"J+4",IF(D77*1440&lt;=360,"J+6",IF(D77*1440&lt;=480,"J+8","8以上"))))))</f>
        <v/>
      </c>
    </row>
    <row r="78" customFormat="false" ht="75" hidden="false" customHeight="true" outlineLevel="0" collapsed="false">
      <c r="A78" s="40" t="s">
        <v>38</v>
      </c>
      <c r="B78" s="40"/>
      <c r="C78" s="40"/>
      <c r="D78" s="40"/>
      <c r="E78" s="40"/>
    </row>
    <row r="80" customFormat="false" ht="21" hidden="false" customHeight="true" outlineLevel="0" collapsed="false">
      <c r="A80" s="41" t="s">
        <v>35</v>
      </c>
      <c r="C80" s="41" t="s">
        <v>28</v>
      </c>
    </row>
  </sheetData>
  <mergeCells count="8">
    <mergeCell ref="A1:E1"/>
    <mergeCell ref="A18:E18"/>
    <mergeCell ref="A21:E21"/>
    <mergeCell ref="A38:E38"/>
    <mergeCell ref="A41:E41"/>
    <mergeCell ref="A58:E58"/>
    <mergeCell ref="A61:E61"/>
    <mergeCell ref="A78:E78"/>
  </mergeCells>
  <printOptions headings="false" gridLines="false" gridLinesSet="true" horizontalCentered="true" verticalCentered="false"/>
  <pageMargins left="0.5" right="0.5" top="0.5" bottom="0.5" header="0.511811023622047" footer="0.511811023622047"/>
  <pageSetup paperSize="9" scale="9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3" manualBreakCount="3">
    <brk id="20" man="true" max="16383" min="0"/>
    <brk id="40" man="true" max="16383" min="0"/>
    <brk id="60" man="true" max="16383" min="0"/>
  </rowBreak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true"/>
  </sheetPr>
  <dimension ref="A1:O1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I7" activeCellId="0" sqref="I7"/>
    </sheetView>
  </sheetViews>
  <sheetFormatPr defaultColWidth="8.87890625" defaultRowHeight="16.5" zeroHeight="false" outlineLevelRow="0" outlineLevelCol="0"/>
  <cols>
    <col collapsed="false" customWidth="true" hidden="false" outlineLevel="0" max="1" min="1" style="1" width="2.75"/>
    <col collapsed="false" customWidth="true" hidden="false" outlineLevel="0" max="2" min="2" style="1" width="21.5"/>
    <col collapsed="false" customWidth="true" hidden="false" outlineLevel="0" max="15" min="3" style="1" width="11"/>
    <col collapsed="false" customWidth="false" hidden="false" outlineLevel="0" max="16384" min="16" style="1" width="8.88"/>
  </cols>
  <sheetData>
    <row r="1" customFormat="false" ht="43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43.5" hidden="false" customHeight="true" outlineLevel="0" collapsed="false">
      <c r="A2" s="3"/>
      <c r="F2" s="4"/>
      <c r="G2" s="5" t="str">
        <f aca="false">'01'!G2</f>
        <v>115年</v>
      </c>
      <c r="H2" s="6" t="s">
        <v>46</v>
      </c>
      <c r="I2" s="4"/>
    </row>
    <row r="3" customFormat="false" ht="48.75" hidden="false" customHeight="true" outlineLevel="0" collapsed="false">
      <c r="A3" s="7" t="s">
        <v>3</v>
      </c>
      <c r="B3" s="7"/>
      <c r="C3" s="8" t="s">
        <v>4</v>
      </c>
      <c r="D3" s="9" t="s">
        <v>5</v>
      </c>
      <c r="E3" s="10" t="s">
        <v>6</v>
      </c>
      <c r="F3" s="9" t="s">
        <v>7</v>
      </c>
      <c r="G3" s="10" t="s">
        <v>8</v>
      </c>
      <c r="H3" s="9" t="s">
        <v>9</v>
      </c>
      <c r="I3" s="10" t="s">
        <v>10</v>
      </c>
      <c r="J3" s="9" t="s">
        <v>11</v>
      </c>
      <c r="K3" s="10" t="s">
        <v>12</v>
      </c>
      <c r="L3" s="9" t="s">
        <v>13</v>
      </c>
      <c r="M3" s="10" t="s">
        <v>14</v>
      </c>
      <c r="N3" s="11" t="s">
        <v>15</v>
      </c>
      <c r="O3" s="8" t="s">
        <v>16</v>
      </c>
    </row>
    <row r="4" customFormat="false" ht="50.25" hidden="false" customHeight="true" outlineLevel="0" collapsed="false">
      <c r="A4" s="12" t="s">
        <v>17</v>
      </c>
      <c r="B4" s="12"/>
      <c r="C4" s="13" t="n">
        <f aca="false">D4+F4+H4+J4+L4</f>
        <v>10</v>
      </c>
      <c r="D4" s="14" t="n">
        <f aca="false">COUNTIF(09子本!$E$3:$E$17,"J+2")</f>
        <v>3</v>
      </c>
      <c r="E4" s="15" t="n">
        <f aca="false">IF($C4=0,"",D4/$C4)</f>
        <v>0.3</v>
      </c>
      <c r="F4" s="14" t="n">
        <f aca="false">COUNTIF(09子本!$E$3:$E$17,"J+4")</f>
        <v>6</v>
      </c>
      <c r="G4" s="15" t="n">
        <f aca="false">IF($C4=0,"",F4/$C4)</f>
        <v>0.6</v>
      </c>
      <c r="H4" s="14" t="n">
        <f aca="false">COUNTIF(09子本!$E$3:$E$17,"J+6")</f>
        <v>0</v>
      </c>
      <c r="I4" s="15" t="n">
        <f aca="false">IF($C4=0,"",H4/$C4)</f>
        <v>0</v>
      </c>
      <c r="J4" s="14" t="n">
        <f aca="false">COUNTIF(09子本!$E$3:$E$17,"J+8")</f>
        <v>1</v>
      </c>
      <c r="K4" s="15" t="n">
        <f aca="false">IF($C4=0,"",J4/$C4)</f>
        <v>0.1</v>
      </c>
      <c r="L4" s="14" t="n">
        <f aca="false">COUNTIF(09子本!$E$3:$E$17,"8以上")</f>
        <v>0</v>
      </c>
      <c r="M4" s="15" t="n">
        <f aca="false">IF($C4=0,"",L4/$C4)</f>
        <v>0</v>
      </c>
      <c r="N4" s="16" t="n">
        <v>1</v>
      </c>
      <c r="O4" s="17" t="n">
        <f aca="false">IF($C4=0,"",(D4*2+F4*4+H4*6+J4*8+L4*8)/$C4)</f>
        <v>3.8</v>
      </c>
    </row>
    <row r="5" customFormat="false" ht="50.25" hidden="false" customHeight="true" outlineLevel="0" collapsed="false">
      <c r="A5" s="12" t="s">
        <v>18</v>
      </c>
      <c r="B5" s="12"/>
      <c r="C5" s="13" t="n">
        <f aca="false">D5+F5+H5+J5+L5</f>
        <v>10</v>
      </c>
      <c r="D5" s="14" t="n">
        <f aca="false">COUNTIF(09子本!$E$23:$E$37,"J+2")</f>
        <v>0</v>
      </c>
      <c r="E5" s="15" t="n">
        <f aca="false">IF($C5=0,"",D5/$C5)</f>
        <v>0</v>
      </c>
      <c r="F5" s="14" t="n">
        <f aca="false">COUNTIF(09子本!$E$23:$E$37,"J+4")</f>
        <v>6</v>
      </c>
      <c r="G5" s="15" t="n">
        <f aca="false">IF($C5=0,"",F5/$C5)</f>
        <v>0.6</v>
      </c>
      <c r="H5" s="14" t="n">
        <f aca="false">COUNTIF(09子本!$E$23:$E$37,"J+6")</f>
        <v>2</v>
      </c>
      <c r="I5" s="15" t="n">
        <f aca="false">IF($C5=0,"",H5/$C5)</f>
        <v>0.2</v>
      </c>
      <c r="J5" s="14" t="n">
        <f aca="false">COUNTIF(09子本!$E$23:$E$37,"J+8")</f>
        <v>2</v>
      </c>
      <c r="K5" s="15" t="n">
        <f aca="false">IF($C5=0,"",J5/$C5)</f>
        <v>0.2</v>
      </c>
      <c r="L5" s="14" t="n">
        <f aca="false">COUNTIF(09子本!$E$23:$E$37,"8以上")</f>
        <v>0</v>
      </c>
      <c r="M5" s="15" t="n">
        <f aca="false">IF($C5=0,"",L5/$C5)</f>
        <v>0</v>
      </c>
      <c r="N5" s="16" t="n">
        <v>1</v>
      </c>
      <c r="O5" s="17" t="n">
        <f aca="false">IF($C5=0,"",(D5*2+F5*4+H5*6+J5*8+L5*8)/$C5)</f>
        <v>5.2</v>
      </c>
    </row>
    <row r="6" customFormat="false" ht="54.75" hidden="false" customHeight="true" outlineLevel="0" collapsed="false">
      <c r="A6" s="18" t="s">
        <v>19</v>
      </c>
      <c r="B6" s="18"/>
      <c r="C6" s="13" t="n">
        <f aca="false">D6+F6+H6+J6+L6</f>
        <v>10</v>
      </c>
      <c r="D6" s="14" t="n">
        <f aca="false">COUNTIF(09子本!$E$43:$E$57,"J+2")</f>
        <v>0</v>
      </c>
      <c r="E6" s="15" t="n">
        <f aca="false">IF($C6=0,"",D6/$C6)</f>
        <v>0</v>
      </c>
      <c r="F6" s="14" t="n">
        <f aca="false">COUNTIF(09子本!$E$43:$E$57,"J+4")</f>
        <v>1</v>
      </c>
      <c r="G6" s="15" t="n">
        <f aca="false">IF($C6=0,"",F6/$C6)</f>
        <v>0.1</v>
      </c>
      <c r="H6" s="14" t="n">
        <f aca="false">COUNTIF(09子本!$E$43:$E$57,"J+6")</f>
        <v>9</v>
      </c>
      <c r="I6" s="15" t="n">
        <f aca="false">IF($C6=0,"",H6/$C6)</f>
        <v>0.9</v>
      </c>
      <c r="J6" s="14" t="n">
        <f aca="false">COUNTIF(09子本!$E$43:$E$57,"J+8")</f>
        <v>0</v>
      </c>
      <c r="K6" s="15" t="n">
        <f aca="false">IF($C6=0,"",J6/$C6)</f>
        <v>0</v>
      </c>
      <c r="L6" s="14" t="n">
        <f aca="false">COUNTIF(09子本!$E$43:$E$57,"8以上")</f>
        <v>0</v>
      </c>
      <c r="M6" s="15" t="n">
        <f aca="false">IF($C6=0,"",L6/$C6)</f>
        <v>0</v>
      </c>
      <c r="N6" s="16" t="n">
        <v>1</v>
      </c>
      <c r="O6" s="17" t="n">
        <f aca="false">IF($C6=0,"",(D6*2+F6*4+H6*6+J6*8+L6*8)/$C6)</f>
        <v>5.8</v>
      </c>
    </row>
    <row r="7" customFormat="false" ht="50.25" hidden="false" customHeight="true" outlineLevel="0" collapsed="false">
      <c r="A7" s="19" t="s">
        <v>20</v>
      </c>
      <c r="B7" s="19"/>
      <c r="C7" s="13" t="n">
        <f aca="false">D7+F7+H7+J7+L7</f>
        <v>10</v>
      </c>
      <c r="D7" s="14" t="n">
        <f aca="false">COUNTIF(09子本!$E$63:$E$77,"J+2")</f>
        <v>0</v>
      </c>
      <c r="E7" s="15" t="n">
        <f aca="false">IF($C7=0,"",D7/$C7)</f>
        <v>0</v>
      </c>
      <c r="F7" s="14" t="n">
        <f aca="false">COUNTIF(09子本!$E$63:$E$77,"J+4")</f>
        <v>7</v>
      </c>
      <c r="G7" s="15" t="n">
        <f aca="false">IF($C7=0,"",F7/$C7)</f>
        <v>0.7</v>
      </c>
      <c r="H7" s="14" t="n">
        <f aca="false">COUNTIF(09子本!$E$63:$E$77,"J+6")</f>
        <v>3</v>
      </c>
      <c r="I7" s="15" t="n">
        <f aca="false">IF($C7=0,"",H7/$C7)</f>
        <v>0.3</v>
      </c>
      <c r="J7" s="14" t="n">
        <f aca="false">COUNTIF(09子本!$E$63:$E$77,"J+8")</f>
        <v>0</v>
      </c>
      <c r="K7" s="15" t="n">
        <f aca="false">IF($C7=0,"",J7/$C7)</f>
        <v>0</v>
      </c>
      <c r="L7" s="14" t="n">
        <f aca="false">COUNTIF(09子本!$E$63:$E$77,"8以上")</f>
        <v>0</v>
      </c>
      <c r="M7" s="15" t="n">
        <f aca="false">IF($C7=0,"",L7/$C7)</f>
        <v>0</v>
      </c>
      <c r="N7" s="20" t="n">
        <v>1</v>
      </c>
      <c r="O7" s="17" t="n">
        <f aca="false">IF($C7=0,"",(D7*2+F7*4+H7*6+J7*8+L7*8)/$C7)</f>
        <v>4.6</v>
      </c>
    </row>
    <row r="8" customFormat="false" ht="21" hidden="false" customHeight="true" outlineLevel="0" collapsed="false">
      <c r="A8" s="21" t="s">
        <v>21</v>
      </c>
      <c r="B8" s="21"/>
      <c r="C8" s="22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</row>
    <row r="9" customFormat="false" ht="60.75" hidden="false" customHeight="true" outlineLevel="0" collapsed="false">
      <c r="A9" s="24" t="n">
        <v>1</v>
      </c>
      <c r="B9" s="25" t="s">
        <v>22</v>
      </c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</row>
    <row r="10" customFormat="false" ht="21" hidden="false" customHeight="true" outlineLevel="0" collapsed="false">
      <c r="A10" s="24" t="n">
        <v>2</v>
      </c>
      <c r="B10" s="26" t="s">
        <v>23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</row>
    <row r="11" customFormat="false" ht="39" hidden="false" customHeight="true" outlineLevel="0" collapsed="false">
      <c r="A11" s="24" t="n">
        <v>3</v>
      </c>
      <c r="B11" s="25" t="s">
        <v>24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customFormat="false" ht="39.75" hidden="false" customHeight="true" outlineLevel="0" collapsed="false">
      <c r="A12" s="24" t="n">
        <v>4</v>
      </c>
      <c r="B12" s="25" t="s">
        <v>25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</row>
    <row r="13" customFormat="false" ht="40.5" hidden="false" customHeight="true" outlineLevel="0" collapsed="false">
      <c r="A13" s="24" t="n">
        <v>5</v>
      </c>
      <c r="B13" s="25" t="s">
        <v>26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</row>
    <row r="14" customFormat="false" ht="21" hidden="false" customHeight="true" outlineLevel="0" collapsed="false">
      <c r="B14" s="27" t="s">
        <v>27</v>
      </c>
      <c r="C14" s="27"/>
      <c r="D14" s="28"/>
      <c r="E14" s="28"/>
      <c r="F14" s="29" t="s">
        <v>28</v>
      </c>
      <c r="G14" s="29"/>
      <c r="H14" s="30"/>
      <c r="I14" s="30"/>
      <c r="J14" s="31"/>
      <c r="K14" s="31"/>
      <c r="O14" s="28"/>
    </row>
  </sheetData>
  <mergeCells count="12">
    <mergeCell ref="A1:M1"/>
    <mergeCell ref="A3:B3"/>
    <mergeCell ref="A4:B4"/>
    <mergeCell ref="A5:B5"/>
    <mergeCell ref="A6:B6"/>
    <mergeCell ref="A7:B7"/>
    <mergeCell ref="A8:B8"/>
    <mergeCell ref="B9:O9"/>
    <mergeCell ref="B10:O10"/>
    <mergeCell ref="B11:O11"/>
    <mergeCell ref="B12:O12"/>
    <mergeCell ref="B13:O13"/>
  </mergeCells>
  <printOptions headings="false" gridLines="false" gridLinesSet="true" horizontalCentered="true" verticalCentered="true"/>
  <pageMargins left="0.157638888888889" right="0.551388888888889" top="0.196527777777778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E5CC"/>
    <pageSetUpPr fitToPage="false"/>
  </sheetPr>
  <dimension ref="A1:E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" defaultRowHeight="21" zeroHeight="false" outlineLevelRow="0" outlineLevelCol="0"/>
  <cols>
    <col collapsed="false" customWidth="true" hidden="false" outlineLevel="0" max="1" min="1" style="32" width="34.63"/>
    <col collapsed="false" customWidth="true" hidden="false" outlineLevel="0" max="3" min="2" style="32" width="17.63"/>
    <col collapsed="false" customWidth="true" hidden="false" outlineLevel="0" max="5" min="4" style="32" width="9.63"/>
    <col collapsed="false" customWidth="false" hidden="false" outlineLevel="0" max="16384" min="6" style="32" width="9"/>
  </cols>
  <sheetData>
    <row r="1" customFormat="false" ht="39.75" hidden="false" customHeight="true" outlineLevel="0" collapsed="false">
      <c r="A1" s="33" t="str">
        <f aca="false">"中和郵務股"&amp;'09'!$G$2&amp;'09'!$H$2&amp;"份 本口 快捷郵遞時效表"</f>
        <v>中和郵務股115年9月份 本口 快捷郵遞時效表</v>
      </c>
      <c r="B1" s="33"/>
      <c r="C1" s="33"/>
      <c r="D1" s="33"/>
      <c r="E1" s="33"/>
    </row>
    <row r="2" customFormat="false" ht="30" hidden="false" customHeight="true" outlineLevel="0" collapsed="false">
      <c r="A2" s="34" t="s">
        <v>29</v>
      </c>
      <c r="B2" s="34" t="s">
        <v>30</v>
      </c>
      <c r="C2" s="34" t="s">
        <v>31</v>
      </c>
      <c r="D2" s="34" t="s">
        <v>32</v>
      </c>
      <c r="E2" s="34" t="s">
        <v>33</v>
      </c>
    </row>
    <row r="3" customFormat="false" ht="30" hidden="false" customHeight="true" outlineLevel="0" collapsed="false">
      <c r="A3" s="35" t="s">
        <v>47</v>
      </c>
      <c r="B3" s="36" t="n">
        <v>46266.5041666667</v>
      </c>
      <c r="C3" s="37" t="n">
        <v>0.665277777777778</v>
      </c>
      <c r="D3" s="38" t="n">
        <f aca="false">IF(OR(B3="",C3=""),"",ROUND((IF(C3&lt;1,INT(B3)+C3,C3)-B3)*1440,0)/1440)</f>
        <v>0.161111111111111</v>
      </c>
      <c r="E3" s="39" t="str">
        <f aca="false">IF(D3="","",IF(D3&lt;0,"打日期",IF(D3*1440&lt;=120,"J+2",IF(D3*1440&lt;=240,"J+4",IF(D3*1440&lt;=360,"J+6",IF(D3*1440&lt;=480,"J+8","8以上"))))))</f>
        <v>J+4</v>
      </c>
    </row>
    <row r="4" customFormat="false" ht="30" hidden="false" customHeight="true" outlineLevel="0" collapsed="false">
      <c r="A4" s="35" t="s">
        <v>48</v>
      </c>
      <c r="B4" s="36" t="n">
        <v>46269.6486111111</v>
      </c>
      <c r="C4" s="37" t="n">
        <v>0.667361111111111</v>
      </c>
      <c r="D4" s="38" t="n">
        <f aca="false">IF(OR(B4="",C4=""),"",ROUND((IF(C4&lt;1,INT(B4)+C4,C4)-B4)*1440,0)/1440)</f>
        <v>0.01875</v>
      </c>
      <c r="E4" s="39" t="str">
        <f aca="false">IF(D4="","",IF(D4&lt;0,"打日期",IF(D4*1440&lt;=120,"J+2",IF(D4*1440&lt;=240,"J+4",IF(D4*1440&lt;=360,"J+6",IF(D4*1440&lt;=480,"J+8","8以上"))))))</f>
        <v>J+2</v>
      </c>
    </row>
    <row r="5" customFormat="false" ht="30" hidden="false" customHeight="true" outlineLevel="0" collapsed="false">
      <c r="A5" s="35" t="s">
        <v>49</v>
      </c>
      <c r="B5" s="36" t="n">
        <v>46272.5777777778</v>
      </c>
      <c r="C5" s="37" t="n">
        <v>0.669444444444444</v>
      </c>
      <c r="D5" s="38" t="n">
        <f aca="false">IF(OR(B5="",C5=""),"",ROUND((IF(C5&lt;1,INT(B5)+C5,C5)-B5)*1440,0)/1440)</f>
        <v>0.0916666666666667</v>
      </c>
      <c r="E5" s="39" t="str">
        <f aca="false">IF(D5="","",IF(D5&lt;0,"打日期",IF(D5*1440&lt;=120,"J+2",IF(D5*1440&lt;=240,"J+4",IF(D5*1440&lt;=360,"J+6",IF(D5*1440&lt;=480,"J+8","8以上"))))))</f>
        <v>J+4</v>
      </c>
    </row>
    <row r="6" customFormat="false" ht="30" hidden="false" customHeight="true" outlineLevel="0" collapsed="false">
      <c r="A6" s="35" t="s">
        <v>50</v>
      </c>
      <c r="B6" s="36" t="n">
        <v>46272.5958333333</v>
      </c>
      <c r="C6" s="37" t="n">
        <v>0.670833333333333</v>
      </c>
      <c r="D6" s="38" t="n">
        <f aca="false">IF(OR(B6="",C6=""),"",ROUND((IF(C6&lt;1,INT(B6)+C6,C6)-B6)*1440,0)/1440)</f>
        <v>0.075</v>
      </c>
      <c r="E6" s="39" t="str">
        <f aca="false">IF(D6="","",IF(D6&lt;0,"打日期",IF(D6*1440&lt;=120,"J+2",IF(D6*1440&lt;=240,"J+4",IF(D6*1440&lt;=360,"J+6",IF(D6*1440&lt;=480,"J+8","8以上"))))))</f>
        <v>J+2</v>
      </c>
    </row>
    <row r="7" customFormat="false" ht="30" hidden="false" customHeight="true" outlineLevel="0" collapsed="false">
      <c r="A7" s="35" t="s">
        <v>51</v>
      </c>
      <c r="B7" s="36" t="n">
        <v>46273.5465277778</v>
      </c>
      <c r="C7" s="37" t="n">
        <v>0.679166666666667</v>
      </c>
      <c r="D7" s="38" t="n">
        <f aca="false">IF(OR(B7="",C7=""),"",ROUND((IF(C7&lt;1,INT(B7)+C7,C7)-B7)*1440,0)/1440)</f>
        <v>0.132638888888889</v>
      </c>
      <c r="E7" s="39" t="str">
        <f aca="false">IF(D7="","",IF(D7&lt;0,"打日期",IF(D7*1440&lt;=120,"J+2",IF(D7*1440&lt;=240,"J+4",IF(D7*1440&lt;=360,"J+6",IF(D7*1440&lt;=480,"J+8","8以上"))))))</f>
        <v>J+4</v>
      </c>
    </row>
    <row r="8" customFormat="false" ht="30" hidden="false" customHeight="true" outlineLevel="0" collapsed="false">
      <c r="A8" s="35" t="s">
        <v>52</v>
      </c>
      <c r="B8" s="36" t="n">
        <v>46273.5868055556</v>
      </c>
      <c r="C8" s="37" t="n">
        <v>0.675694444444445</v>
      </c>
      <c r="D8" s="38" t="n">
        <f aca="false">IF(OR(B8="",C8=""),"",ROUND((IF(C8&lt;1,INT(B8)+C8,C8)-B8)*1440,0)/1440)</f>
        <v>0.0888888888888889</v>
      </c>
      <c r="E8" s="39" t="str">
        <f aca="false">IF(D8="","",IF(D8&lt;0,"打日期",IF(D8*1440&lt;=120,"J+2",IF(D8*1440&lt;=240,"J+4",IF(D8*1440&lt;=360,"J+6",IF(D8*1440&lt;=480,"J+8","8以上"))))))</f>
        <v>J+4</v>
      </c>
    </row>
    <row r="9" customFormat="false" ht="30" hidden="false" customHeight="true" outlineLevel="0" collapsed="false">
      <c r="A9" s="35" t="s">
        <v>53</v>
      </c>
      <c r="B9" s="36" t="n">
        <v>46273.6284722222</v>
      </c>
      <c r="C9" s="37" t="n">
        <v>0.675694444444445</v>
      </c>
      <c r="D9" s="38" t="n">
        <f aca="false">IF(OR(B9="",C9=""),"",ROUND((IF(C9&lt;1,INT(B9)+C9,C9)-B9)*1440,0)/1440)</f>
        <v>0.0472222222222222</v>
      </c>
      <c r="E9" s="39" t="str">
        <f aca="false">IF(D9="","",IF(D9&lt;0,"打日期",IF(D9*1440&lt;=120,"J+2",IF(D9*1440&lt;=240,"J+4",IF(D9*1440&lt;=360,"J+6",IF(D9*1440&lt;=480,"J+8","8以上"))))))</f>
        <v>J+2</v>
      </c>
    </row>
    <row r="10" customFormat="false" ht="30" hidden="false" customHeight="true" outlineLevel="0" collapsed="false">
      <c r="A10" s="35" t="s">
        <v>54</v>
      </c>
      <c r="B10" s="36" t="n">
        <v>46275.5277777778</v>
      </c>
      <c r="C10" s="37" t="n">
        <v>0.672916666666667</v>
      </c>
      <c r="D10" s="38" t="n">
        <f aca="false">IF(OR(B10="",C10=""),"",ROUND((IF(C10&lt;1,INT(B10)+C10,C10)-B10)*1440,0)/1440)</f>
        <v>0.145138888888889</v>
      </c>
      <c r="E10" s="39" t="str">
        <f aca="false">IF(D10="","",IF(D10&lt;0,"打日期",IF(D10*1440&lt;=120,"J+2",IF(D10*1440&lt;=240,"J+4",IF(D10*1440&lt;=360,"J+6",IF(D10*1440&lt;=480,"J+8","8以上"))))))</f>
        <v>J+4</v>
      </c>
    </row>
    <row r="11" customFormat="false" ht="30" hidden="false" customHeight="true" outlineLevel="0" collapsed="false">
      <c r="A11" s="35" t="s">
        <v>55</v>
      </c>
      <c r="B11" s="36" t="n">
        <v>46282.3805555556</v>
      </c>
      <c r="C11" s="37" t="n">
        <v>0.677777777777778</v>
      </c>
      <c r="D11" s="38" t="n">
        <f aca="false">IF(OR(B11="",C11=""),"",ROUND((IF(C11&lt;1,INT(B11)+C11,C11)-B11)*1440,0)/1440)</f>
        <v>0.297222222222222</v>
      </c>
      <c r="E11" s="39" t="str">
        <f aca="false">IF(D11="","",IF(D11&lt;0,"打日期",IF(D11*1440&lt;=120,"J+2",IF(D11*1440&lt;=240,"J+4",IF(D11*1440&lt;=360,"J+6",IF(D11*1440&lt;=480,"J+8","8以上"))))))</f>
        <v>J+8</v>
      </c>
    </row>
    <row r="12" customFormat="false" ht="30" hidden="false" customHeight="true" outlineLevel="0" collapsed="false">
      <c r="A12" s="35" t="s">
        <v>56</v>
      </c>
      <c r="B12" s="36" t="n">
        <v>46283.5694444445</v>
      </c>
      <c r="C12" s="37" t="n">
        <v>0.672222222222222</v>
      </c>
      <c r="D12" s="38" t="n">
        <f aca="false">IF(OR(B12="",C12=""),"",ROUND((IF(C12&lt;1,INT(B12)+C12,C12)-B12)*1440,0)/1440)</f>
        <v>0.102777777777778</v>
      </c>
      <c r="E12" s="39" t="str">
        <f aca="false">IF(D12="","",IF(D12&lt;0,"打日期",IF(D12*1440&lt;=120,"J+2",IF(D12*1440&lt;=240,"J+4",IF(D12*1440&lt;=360,"J+6",IF(D12*1440&lt;=480,"J+8","8以上"))))))</f>
        <v>J+4</v>
      </c>
    </row>
    <row r="13" customFormat="false" ht="30" hidden="false" customHeight="true" outlineLevel="0" collapsed="false">
      <c r="A13" s="35"/>
      <c r="B13" s="36"/>
      <c r="C13" s="37"/>
      <c r="D13" s="38" t="str">
        <f aca="false">IF(OR(B13="",C13=""),"",ROUND((IF(C13&lt;1,INT(B13)+C13,C13)-B13)*1440,0)/1440)</f>
        <v/>
      </c>
      <c r="E13" s="39" t="str">
        <f aca="false">IF(D13="","",IF(D13&lt;0,"打日期",IF(D13*1440&lt;=120,"J+2",IF(D13*1440&lt;=240,"J+4",IF(D13*1440&lt;=360,"J+6",IF(D13*1440&lt;=480,"J+8","8以上"))))))</f>
        <v/>
      </c>
    </row>
    <row r="14" customFormat="false" ht="30" hidden="false" customHeight="true" outlineLevel="0" collapsed="false">
      <c r="A14" s="35"/>
      <c r="B14" s="36"/>
      <c r="C14" s="37"/>
      <c r="D14" s="38" t="str">
        <f aca="false">IF(OR(B14="",C14=""),"",ROUND((IF(C14&lt;1,INT(B14)+C14,C14)-B14)*1440,0)/1440)</f>
        <v/>
      </c>
      <c r="E14" s="39" t="str">
        <f aca="false">IF(D14="","",IF(D14&lt;0,"打日期",IF(D14*1440&lt;=120,"J+2",IF(D14*1440&lt;=240,"J+4",IF(D14*1440&lt;=360,"J+6",IF(D14*1440&lt;=480,"J+8","8以上"))))))</f>
        <v/>
      </c>
    </row>
    <row r="15" customFormat="false" ht="30" hidden="false" customHeight="true" outlineLevel="0" collapsed="false">
      <c r="A15" s="35"/>
      <c r="B15" s="36"/>
      <c r="C15" s="37"/>
      <c r="D15" s="38" t="str">
        <f aca="false">IF(OR(B15="",C15=""),"",ROUND((IF(C15&lt;1,INT(B15)+C15,C15)-B15)*1440,0)/1440)</f>
        <v/>
      </c>
      <c r="E15" s="39" t="str">
        <f aca="false">IF(D15="","",IF(D15&lt;0,"打日期",IF(D15*1440&lt;=120,"J+2",IF(D15*1440&lt;=240,"J+4",IF(D15*1440&lt;=360,"J+6",IF(D15*1440&lt;=480,"J+8","8以上"))))))</f>
        <v/>
      </c>
    </row>
    <row r="16" customFormat="false" ht="30" hidden="false" customHeight="true" outlineLevel="0" collapsed="false">
      <c r="A16" s="35"/>
      <c r="B16" s="36"/>
      <c r="C16" s="37"/>
      <c r="D16" s="38" t="str">
        <f aca="false">IF(OR(B16="",C16=""),"",ROUND((IF(C16&lt;1,INT(B16)+C16,C16)-B16)*1440,0)/1440)</f>
        <v/>
      </c>
      <c r="E16" s="39" t="str">
        <f aca="false">IF(D16="","",IF(D16&lt;0,"打日期",IF(D16*1440&lt;=120,"J+2",IF(D16*1440&lt;=240,"J+4",IF(D16*1440&lt;=360,"J+6",IF(D16*1440&lt;=480,"J+8","8以上"))))))</f>
        <v/>
      </c>
    </row>
    <row r="17" customFormat="false" ht="30" hidden="false" customHeight="true" outlineLevel="0" collapsed="false">
      <c r="A17" s="35"/>
      <c r="B17" s="36"/>
      <c r="C17" s="37"/>
      <c r="D17" s="38" t="str">
        <f aca="false">IF(OR(B17="",C17=""),"",ROUND((IF(C17&lt;1,INT(B17)+C17,C17)-B17)*1440,0)/1440)</f>
        <v/>
      </c>
      <c r="E17" s="39" t="str">
        <f aca="false">IF(D17="","",IF(D17&lt;0,"打日期",IF(D17*1440&lt;=120,"J+2",IF(D17*1440&lt;=240,"J+4",IF(D17*1440&lt;=360,"J+6",IF(D17*1440&lt;=480,"J+8","8以上"))))))</f>
        <v/>
      </c>
    </row>
    <row r="18" customFormat="false" ht="75" hidden="false" customHeight="true" outlineLevel="0" collapsed="false">
      <c r="A18" s="40" t="s">
        <v>34</v>
      </c>
      <c r="B18" s="40"/>
      <c r="C18" s="40"/>
      <c r="D18" s="40"/>
      <c r="E18" s="40"/>
    </row>
    <row r="20" customFormat="false" ht="21" hidden="false" customHeight="true" outlineLevel="0" collapsed="false">
      <c r="A20" s="41" t="s">
        <v>35</v>
      </c>
      <c r="C20" s="41" t="s">
        <v>28</v>
      </c>
    </row>
    <row r="21" customFormat="false" ht="39.75" hidden="false" customHeight="true" outlineLevel="0" collapsed="false">
      <c r="A21" s="33" t="str">
        <f aca="false">"中和郵務股"&amp;'09'!$G$2&amp;'09'!$H$2&amp;"份 十大都會區 快捷郵遞時效表"</f>
        <v>中和郵務股115年9月份 十大都會區 快捷郵遞時效表</v>
      </c>
      <c r="B21" s="33"/>
      <c r="C21" s="33"/>
      <c r="D21" s="33"/>
      <c r="E21" s="33"/>
    </row>
    <row r="22" customFormat="false" ht="30" hidden="false" customHeight="true" outlineLevel="0" collapsed="false">
      <c r="A22" s="34" t="s">
        <v>29</v>
      </c>
      <c r="B22" s="34" t="s">
        <v>30</v>
      </c>
      <c r="C22" s="34" t="s">
        <v>31</v>
      </c>
      <c r="D22" s="34" t="s">
        <v>32</v>
      </c>
      <c r="E22" s="34" t="s">
        <v>33</v>
      </c>
    </row>
    <row r="23" customFormat="false" ht="30" hidden="false" customHeight="true" outlineLevel="0" collapsed="false">
      <c r="A23" s="35" t="s">
        <v>57</v>
      </c>
      <c r="B23" s="36" t="n">
        <v>46287.3520833333</v>
      </c>
      <c r="C23" s="37" t="n">
        <v>0.685416666666667</v>
      </c>
      <c r="D23" s="38" t="n">
        <f aca="false">IF(OR(B23="",C23=""),"",ROUND((IF(C23&lt;1,INT(B23)+C23,C23)-B23)*1440,0)/1440)</f>
        <v>0.333333333333333</v>
      </c>
      <c r="E23" s="39" t="str">
        <f aca="false">IF(D23="","",IF(D23&lt;0,"打日期",IF(D23*1440&lt;=120,"J+2",IF(D23*1440&lt;=240,"J+4",IF(D23*1440&lt;=360,"J+6",IF(D23*1440&lt;=480,"J+8","8以上"))))))</f>
        <v>J+8</v>
      </c>
    </row>
    <row r="24" customFormat="false" ht="30" hidden="false" customHeight="true" outlineLevel="0" collapsed="false">
      <c r="A24" s="35" t="s">
        <v>58</v>
      </c>
      <c r="B24" s="36" t="n">
        <v>46287.3979166667</v>
      </c>
      <c r="C24" s="37" t="n">
        <v>0.686805555555556</v>
      </c>
      <c r="D24" s="38" t="n">
        <f aca="false">IF(OR(B24="",C24=""),"",ROUND((IF(C24&lt;1,INT(B24)+C24,C24)-B24)*1440,0)/1440)</f>
        <v>0.288888888888889</v>
      </c>
      <c r="E24" s="39" t="str">
        <f aca="false">IF(D24="","",IF(D24&lt;0,"打日期",IF(D24*1440&lt;=120,"J+2",IF(D24*1440&lt;=240,"J+4",IF(D24*1440&lt;=360,"J+6",IF(D24*1440&lt;=480,"J+8","8以上"))))))</f>
        <v>J+8</v>
      </c>
    </row>
    <row r="25" customFormat="false" ht="30" hidden="false" customHeight="true" outlineLevel="0" collapsed="false">
      <c r="A25" s="35" t="s">
        <v>59</v>
      </c>
      <c r="B25" s="36" t="n">
        <v>46287.4451388889</v>
      </c>
      <c r="C25" s="37" t="n">
        <v>0.686111111111111</v>
      </c>
      <c r="D25" s="38" t="n">
        <f aca="false">IF(OR(B25="",C25=""),"",ROUND((IF(C25&lt;1,INT(B25)+C25,C25)-B25)*1440,0)/1440)</f>
        <v>0.240972222222222</v>
      </c>
      <c r="E25" s="39" t="str">
        <f aca="false">IF(D25="","",IF(D25&lt;0,"打日期",IF(D25*1440&lt;=120,"J+2",IF(D25*1440&lt;=240,"J+4",IF(D25*1440&lt;=360,"J+6",IF(D25*1440&lt;=480,"J+8","8以上"))))))</f>
        <v>J+6</v>
      </c>
    </row>
    <row r="26" customFormat="false" ht="30" hidden="false" customHeight="true" outlineLevel="0" collapsed="false">
      <c r="A26" s="35" t="s">
        <v>60</v>
      </c>
      <c r="B26" s="36" t="n">
        <v>46287.4854166667</v>
      </c>
      <c r="C26" s="37" t="n">
        <v>0.685416666666667</v>
      </c>
      <c r="D26" s="38" t="n">
        <f aca="false">IF(OR(B26="",C26=""),"",ROUND((IF(C26&lt;1,INT(B26)+C26,C26)-B26)*1440,0)/1440)</f>
        <v>0.2</v>
      </c>
      <c r="E26" s="39" t="str">
        <f aca="false">IF(D26="","",IF(D26&lt;0,"打日期",IF(D26*1440&lt;=120,"J+2",IF(D26*1440&lt;=240,"J+4",IF(D26*1440&lt;=360,"J+6",IF(D26*1440&lt;=480,"J+8","8以上"))))))</f>
        <v>J+6</v>
      </c>
    </row>
    <row r="27" customFormat="false" ht="30" hidden="false" customHeight="true" outlineLevel="0" collapsed="false">
      <c r="A27" s="35" t="s">
        <v>61</v>
      </c>
      <c r="B27" s="36" t="n">
        <v>46287.44375</v>
      </c>
      <c r="C27" s="37" t="n">
        <v>0.563194444444444</v>
      </c>
      <c r="D27" s="38" t="n">
        <f aca="false">IF(OR(B27="",C27=""),"",ROUND((IF(C27&lt;1,INT(B27)+C27,C27)-B27)*1440,0)/1440)</f>
        <v>0.119444444444444</v>
      </c>
      <c r="E27" s="39" t="str">
        <f aca="false">IF(D27="","",IF(D27&lt;0,"打日期",IF(D27*1440&lt;=120,"J+2",IF(D27*1440&lt;=240,"J+4",IF(D27*1440&lt;=360,"J+6",IF(D27*1440&lt;=480,"J+8","8以上"))))))</f>
        <v>J+4</v>
      </c>
    </row>
    <row r="28" customFormat="false" ht="30" hidden="false" customHeight="true" outlineLevel="0" collapsed="false">
      <c r="A28" s="35" t="s">
        <v>62</v>
      </c>
      <c r="B28" s="36" t="n">
        <v>46287.4409722222</v>
      </c>
      <c r="C28" s="37" t="n">
        <v>0.565277777777778</v>
      </c>
      <c r="D28" s="38" t="n">
        <f aca="false">IF(OR(B28="",C28=""),"",ROUND((IF(C28&lt;1,INT(B28)+C28,C28)-B28)*1440,0)/1440)</f>
        <v>0.124305555555556</v>
      </c>
      <c r="E28" s="39" t="str">
        <f aca="false">IF(D28="","",IF(D28&lt;0,"打日期",IF(D28*1440&lt;=120,"J+2",IF(D28*1440&lt;=240,"J+4",IF(D28*1440&lt;=360,"J+6",IF(D28*1440&lt;=480,"J+8","8以上"))))))</f>
        <v>J+4</v>
      </c>
    </row>
    <row r="29" customFormat="false" ht="30" hidden="false" customHeight="true" outlineLevel="0" collapsed="false">
      <c r="A29" s="35" t="s">
        <v>63</v>
      </c>
      <c r="B29" s="36" t="n">
        <v>46287.4069444445</v>
      </c>
      <c r="C29" s="37" t="n">
        <v>0.565277777777778</v>
      </c>
      <c r="D29" s="38" t="n">
        <f aca="false">IF(OR(B29="",C29=""),"",ROUND((IF(C29&lt;1,INT(B29)+C29,C29)-B29)*1440,0)/1440)</f>
        <v>0.158333333333333</v>
      </c>
      <c r="E29" s="39" t="str">
        <f aca="false">IF(D29="","",IF(D29&lt;0,"打日期",IF(D29*1440&lt;=120,"J+2",IF(D29*1440&lt;=240,"J+4",IF(D29*1440&lt;=360,"J+6",IF(D29*1440&lt;=480,"J+8","8以上"))))))</f>
        <v>J+4</v>
      </c>
    </row>
    <row r="30" customFormat="false" ht="30" hidden="false" customHeight="true" outlineLevel="0" collapsed="false">
      <c r="A30" s="35" t="s">
        <v>64</v>
      </c>
      <c r="B30" s="36" t="n">
        <v>46287.4118055556</v>
      </c>
      <c r="C30" s="37" t="n">
        <v>0.565277777777778</v>
      </c>
      <c r="D30" s="38" t="n">
        <f aca="false">IF(OR(B30="",C30=""),"",ROUND((IF(C30&lt;1,INT(B30)+C30,C30)-B30)*1440,0)/1440)</f>
        <v>0.153472222222222</v>
      </c>
      <c r="E30" s="39" t="str">
        <f aca="false">IF(D30="","",IF(D30&lt;0,"打日期",IF(D30*1440&lt;=120,"J+2",IF(D30*1440&lt;=240,"J+4",IF(D30*1440&lt;=360,"J+6",IF(D30*1440&lt;=480,"J+8","8以上"))))))</f>
        <v>J+4</v>
      </c>
    </row>
    <row r="31" customFormat="false" ht="30" hidden="false" customHeight="true" outlineLevel="0" collapsed="false">
      <c r="A31" s="35" t="s">
        <v>65</v>
      </c>
      <c r="B31" s="36" t="n">
        <v>46286.40625</v>
      </c>
      <c r="C31" s="37" t="n">
        <v>0.556944444444445</v>
      </c>
      <c r="D31" s="38" t="n">
        <f aca="false">IF(OR(B31="",C31=""),"",ROUND((IF(C31&lt;1,INT(B31)+C31,C31)-B31)*1440,0)/1440)</f>
        <v>0.150694444444444</v>
      </c>
      <c r="E31" s="39" t="str">
        <f aca="false">IF(D31="","",IF(D31&lt;0,"打日期",IF(D31*1440&lt;=120,"J+2",IF(D31*1440&lt;=240,"J+4",IF(D31*1440&lt;=360,"J+6",IF(D31*1440&lt;=480,"J+8","8以上"))))))</f>
        <v>J+4</v>
      </c>
    </row>
    <row r="32" customFormat="false" ht="30" hidden="false" customHeight="true" outlineLevel="0" collapsed="false">
      <c r="A32" s="35" t="s">
        <v>66</v>
      </c>
      <c r="B32" s="36" t="n">
        <v>46286.4229166667</v>
      </c>
      <c r="C32" s="37" t="n">
        <v>0.55625</v>
      </c>
      <c r="D32" s="38" t="n">
        <f aca="false">IF(OR(B32="",C32=""),"",ROUND((IF(C32&lt;1,INT(B32)+C32,C32)-B32)*1440,0)/1440)</f>
        <v>0.133333333333333</v>
      </c>
      <c r="E32" s="39" t="str">
        <f aca="false">IF(D32="","",IF(D32&lt;0,"打日期",IF(D32*1440&lt;=120,"J+2",IF(D32*1440&lt;=240,"J+4",IF(D32*1440&lt;=360,"J+6",IF(D32*1440&lt;=480,"J+8","8以上"))))))</f>
        <v>J+4</v>
      </c>
    </row>
    <row r="33" customFormat="false" ht="30" hidden="false" customHeight="true" outlineLevel="0" collapsed="false">
      <c r="A33" s="35"/>
      <c r="B33" s="36"/>
      <c r="C33" s="37"/>
      <c r="D33" s="38" t="str">
        <f aca="false">IF(OR(B33="",C33=""),"",ROUND((IF(C33&lt;1,INT(B33)+C33,C33)-B33)*1440,0)/1440)</f>
        <v/>
      </c>
      <c r="E33" s="39" t="str">
        <f aca="false">IF(D33="","",IF(D33&lt;0,"打日期",IF(D33*1440&lt;=120,"J+2",IF(D33*1440&lt;=240,"J+4",IF(D33*1440&lt;=360,"J+6",IF(D33*1440&lt;=480,"J+8","8以上"))))))</f>
        <v/>
      </c>
    </row>
    <row r="34" customFormat="false" ht="30" hidden="false" customHeight="true" outlineLevel="0" collapsed="false">
      <c r="A34" s="35"/>
      <c r="B34" s="36"/>
      <c r="C34" s="37"/>
      <c r="D34" s="38" t="str">
        <f aca="false">IF(OR(B34="",C34=""),"",ROUND((IF(C34&lt;1,INT(B34)+C34,C34)-B34)*1440,0)/1440)</f>
        <v/>
      </c>
      <c r="E34" s="39" t="str">
        <f aca="false">IF(D34="","",IF(D34&lt;0,"打日期",IF(D34*1440&lt;=120,"J+2",IF(D34*1440&lt;=240,"J+4",IF(D34*1440&lt;=360,"J+6",IF(D34*1440&lt;=480,"J+8","8以上"))))))</f>
        <v/>
      </c>
    </row>
    <row r="35" customFormat="false" ht="30" hidden="false" customHeight="true" outlineLevel="0" collapsed="false">
      <c r="A35" s="35"/>
      <c r="B35" s="36"/>
      <c r="C35" s="37"/>
      <c r="D35" s="38" t="str">
        <f aca="false">IF(OR(B35="",C35=""),"",ROUND((IF(C35&lt;1,INT(B35)+C35,C35)-B35)*1440,0)/1440)</f>
        <v/>
      </c>
      <c r="E35" s="39" t="str">
        <f aca="false">IF(D35="","",IF(D35&lt;0,"打日期",IF(D35*1440&lt;=120,"J+2",IF(D35*1440&lt;=240,"J+4",IF(D35*1440&lt;=360,"J+6",IF(D35*1440&lt;=480,"J+8","8以上"))))))</f>
        <v/>
      </c>
    </row>
    <row r="36" customFormat="false" ht="30" hidden="false" customHeight="true" outlineLevel="0" collapsed="false">
      <c r="A36" s="35"/>
      <c r="B36" s="36"/>
      <c r="C36" s="37"/>
      <c r="D36" s="38" t="str">
        <f aca="false">IF(OR(B36="",C36=""),"",ROUND((IF(C36&lt;1,INT(B36)+C36,C36)-B36)*1440,0)/1440)</f>
        <v/>
      </c>
      <c r="E36" s="39" t="str">
        <f aca="false">IF(D36="","",IF(D36&lt;0,"打日期",IF(D36*1440&lt;=120,"J+2",IF(D36*1440&lt;=240,"J+4",IF(D36*1440&lt;=360,"J+6",IF(D36*1440&lt;=480,"J+8","8以上"))))))</f>
        <v/>
      </c>
    </row>
    <row r="37" customFormat="false" ht="30" hidden="false" customHeight="true" outlineLevel="0" collapsed="false">
      <c r="A37" s="35"/>
      <c r="B37" s="36"/>
      <c r="C37" s="37"/>
      <c r="D37" s="38" t="str">
        <f aca="false">IF(OR(B37="",C37=""),"",ROUND((IF(C37&lt;1,INT(B37)+C37,C37)-B37)*1440,0)/1440)</f>
        <v/>
      </c>
      <c r="E37" s="39" t="str">
        <f aca="false">IF(D37="","",IF(D37&lt;0,"打日期",IF(D37*1440&lt;=120,"J+2",IF(D37*1440&lt;=240,"J+4",IF(D37*1440&lt;=360,"J+6",IF(D37*1440&lt;=480,"J+8","8以上"))))))</f>
        <v/>
      </c>
    </row>
    <row r="38" customFormat="false" ht="75" hidden="false" customHeight="true" outlineLevel="0" collapsed="false">
      <c r="A38" s="40" t="s">
        <v>36</v>
      </c>
      <c r="B38" s="40"/>
      <c r="C38" s="40"/>
      <c r="D38" s="40"/>
      <c r="E38" s="40"/>
    </row>
    <row r="40" customFormat="false" ht="21" hidden="false" customHeight="true" outlineLevel="0" collapsed="false">
      <c r="A40" s="41" t="s">
        <v>35</v>
      </c>
      <c r="C40" s="41" t="s">
        <v>28</v>
      </c>
    </row>
    <row r="41" customFormat="false" ht="39.75" hidden="false" customHeight="true" outlineLevel="0" collapsed="false">
      <c r="A41" s="33" t="str">
        <f aca="false">"中和郵務股"&amp;'09'!$G$2&amp;'09'!$H$2&amp;"份 區域內互寄 快捷郵遞時效表"</f>
        <v>中和郵務股115年9月份 區域內互寄 快捷郵遞時效表</v>
      </c>
      <c r="B41" s="33"/>
      <c r="C41" s="33"/>
      <c r="D41" s="33"/>
      <c r="E41" s="33"/>
    </row>
    <row r="42" customFormat="false" ht="30" hidden="false" customHeight="true" outlineLevel="0" collapsed="false">
      <c r="A42" s="34" t="s">
        <v>29</v>
      </c>
      <c r="B42" s="34" t="s">
        <v>30</v>
      </c>
      <c r="C42" s="34" t="s">
        <v>31</v>
      </c>
      <c r="D42" s="34" t="s">
        <v>32</v>
      </c>
      <c r="E42" s="34" t="s">
        <v>33</v>
      </c>
    </row>
    <row r="43" customFormat="false" ht="30" hidden="false" customHeight="true" outlineLevel="0" collapsed="false">
      <c r="A43" s="35" t="s">
        <v>67</v>
      </c>
      <c r="B43" s="36" t="n">
        <v>46266.4645833333</v>
      </c>
      <c r="C43" s="37" t="n">
        <v>0.675</v>
      </c>
      <c r="D43" s="38" t="n">
        <f aca="false">IF(OR(B43="",C43=""),"",ROUND((IF(C43&lt;1,INT(B43)+C43,C43)-B43)*1440,0)/1440)</f>
        <v>0.210416666666667</v>
      </c>
      <c r="E43" s="39" t="str">
        <f aca="false">IF(D43="","",IF(D43&lt;0,"打日期",IF(D43*1440&lt;=120,"J+2",IF(D43*1440&lt;=240,"J+4",IF(D43*1440&lt;=360,"J+6",IF(D43*1440&lt;=480,"J+8","8以上"))))))</f>
        <v>J+6</v>
      </c>
    </row>
    <row r="44" customFormat="false" ht="30" hidden="false" customHeight="true" outlineLevel="0" collapsed="false">
      <c r="A44" s="35" t="s">
        <v>68</v>
      </c>
      <c r="B44" s="36" t="n">
        <v>46266.4861111111</v>
      </c>
      <c r="C44" s="37" t="n">
        <v>0.674305555555556</v>
      </c>
      <c r="D44" s="38" t="n">
        <f aca="false">IF(OR(B44="",C44=""),"",ROUND((IF(C44&lt;1,INT(B44)+C44,C44)-B44)*1440,0)/1440)</f>
        <v>0.188194444444444</v>
      </c>
      <c r="E44" s="39" t="str">
        <f aca="false">IF(D44="","",IF(D44&lt;0,"打日期",IF(D44*1440&lt;=120,"J+2",IF(D44*1440&lt;=240,"J+4",IF(D44*1440&lt;=360,"J+6",IF(D44*1440&lt;=480,"J+8","8以上"))))))</f>
        <v>J+6</v>
      </c>
    </row>
    <row r="45" customFormat="false" ht="30" hidden="false" customHeight="true" outlineLevel="0" collapsed="false">
      <c r="A45" s="35" t="s">
        <v>69</v>
      </c>
      <c r="B45" s="36" t="n">
        <v>46267.4826388889</v>
      </c>
      <c r="C45" s="37" t="n">
        <v>0.677777777777778</v>
      </c>
      <c r="D45" s="38" t="n">
        <f aca="false">IF(OR(B45="",C45=""),"",ROUND((IF(C45&lt;1,INT(B45)+C45,C45)-B45)*1440,0)/1440)</f>
        <v>0.195138888888889</v>
      </c>
      <c r="E45" s="39" t="str">
        <f aca="false">IF(D45="","",IF(D45&lt;0,"打日期",IF(D45*1440&lt;=120,"J+2",IF(D45*1440&lt;=240,"J+4",IF(D45*1440&lt;=360,"J+6",IF(D45*1440&lt;=480,"J+8","8以上"))))))</f>
        <v>J+6</v>
      </c>
    </row>
    <row r="46" customFormat="false" ht="30" hidden="false" customHeight="true" outlineLevel="0" collapsed="false">
      <c r="A46" s="35" t="s">
        <v>70</v>
      </c>
      <c r="B46" s="36" t="n">
        <v>46267.5277777778</v>
      </c>
      <c r="C46" s="37" t="n">
        <v>0.677777777777778</v>
      </c>
      <c r="D46" s="38" t="n">
        <f aca="false">IF(OR(B46="",C46=""),"",ROUND((IF(C46&lt;1,INT(B46)+C46,C46)-B46)*1440,0)/1440)</f>
        <v>0.15</v>
      </c>
      <c r="E46" s="39" t="str">
        <f aca="false">IF(D46="","",IF(D46&lt;0,"打日期",IF(D46*1440&lt;=120,"J+2",IF(D46*1440&lt;=240,"J+4",IF(D46*1440&lt;=360,"J+6",IF(D46*1440&lt;=480,"J+8","8以上"))))))</f>
        <v>J+4</v>
      </c>
    </row>
    <row r="47" customFormat="false" ht="30" hidden="false" customHeight="true" outlineLevel="0" collapsed="false">
      <c r="A47" s="35" t="s">
        <v>71</v>
      </c>
      <c r="B47" s="36" t="n">
        <v>46267.4423611111</v>
      </c>
      <c r="C47" s="37" t="n">
        <v>0.679861111111111</v>
      </c>
      <c r="D47" s="38" t="n">
        <f aca="false">IF(OR(B47="",C47=""),"",ROUND((IF(C47&lt;1,INT(B47)+C47,C47)-B47)*1440,0)/1440)</f>
        <v>0.2375</v>
      </c>
      <c r="E47" s="39" t="str">
        <f aca="false">IF(D47="","",IF(D47&lt;0,"打日期",IF(D47*1440&lt;=120,"J+2",IF(D47*1440&lt;=240,"J+4",IF(D47*1440&lt;=360,"J+6",IF(D47*1440&lt;=480,"J+8","8以上"))))))</f>
        <v>J+6</v>
      </c>
    </row>
    <row r="48" customFormat="false" ht="30" hidden="false" customHeight="true" outlineLevel="0" collapsed="false">
      <c r="A48" s="35" t="s">
        <v>72</v>
      </c>
      <c r="B48" s="36" t="n">
        <v>46267.4361111111</v>
      </c>
      <c r="C48" s="37" t="n">
        <v>0.679166666666667</v>
      </c>
      <c r="D48" s="38" t="n">
        <f aca="false">IF(OR(B48="",C48=""),"",ROUND((IF(C48&lt;1,INT(B48)+C48,C48)-B48)*1440,0)/1440)</f>
        <v>0.243055555555556</v>
      </c>
      <c r="E48" s="39" t="str">
        <f aca="false">IF(D48="","",IF(D48&lt;0,"打日期",IF(D48*1440&lt;=120,"J+2",IF(D48*1440&lt;=240,"J+4",IF(D48*1440&lt;=360,"J+6",IF(D48*1440&lt;=480,"J+8","8以上"))))))</f>
        <v>J+6</v>
      </c>
    </row>
    <row r="49" customFormat="false" ht="30" hidden="false" customHeight="true" outlineLevel="0" collapsed="false">
      <c r="A49" s="35" t="s">
        <v>73</v>
      </c>
      <c r="B49" s="36" t="n">
        <v>46267.4756944445</v>
      </c>
      <c r="C49" s="37" t="n">
        <v>0.678472222222222</v>
      </c>
      <c r="D49" s="38" t="n">
        <f aca="false">IF(OR(B49="",C49=""),"",ROUND((IF(C49&lt;1,INT(B49)+C49,C49)-B49)*1440,0)/1440)</f>
        <v>0.202777777777778</v>
      </c>
      <c r="E49" s="39" t="str">
        <f aca="false">IF(D49="","",IF(D49&lt;0,"打日期",IF(D49*1440&lt;=120,"J+2",IF(D49*1440&lt;=240,"J+4",IF(D49*1440&lt;=360,"J+6",IF(D49*1440&lt;=480,"J+8","8以上"))))))</f>
        <v>J+6</v>
      </c>
    </row>
    <row r="50" customFormat="false" ht="30" hidden="false" customHeight="true" outlineLevel="0" collapsed="false">
      <c r="A50" s="35" t="s">
        <v>74</v>
      </c>
      <c r="B50" s="36" t="n">
        <v>46267.4340277778</v>
      </c>
      <c r="C50" s="37" t="n">
        <v>0.677777777777778</v>
      </c>
      <c r="D50" s="38" t="n">
        <f aca="false">IF(OR(B50="",C50=""),"",ROUND((IF(C50&lt;1,INT(B50)+C50,C50)-B50)*1440,0)/1440)</f>
        <v>0.24375</v>
      </c>
      <c r="E50" s="39" t="str">
        <f aca="false">IF(D50="","",IF(D50&lt;0,"打日期",IF(D50*1440&lt;=120,"J+2",IF(D50*1440&lt;=240,"J+4",IF(D50*1440&lt;=360,"J+6",IF(D50*1440&lt;=480,"J+8","8以上"))))))</f>
        <v>J+6</v>
      </c>
    </row>
    <row r="51" customFormat="false" ht="30" hidden="false" customHeight="true" outlineLevel="0" collapsed="false">
      <c r="A51" s="35" t="s">
        <v>75</v>
      </c>
      <c r="B51" s="36" t="n">
        <v>46267.4527777778</v>
      </c>
      <c r="C51" s="37" t="n">
        <v>0.677777777777778</v>
      </c>
      <c r="D51" s="38" t="n">
        <f aca="false">IF(OR(B51="",C51=""),"",ROUND((IF(C51&lt;1,INT(B51)+C51,C51)-B51)*1440,0)/1440)</f>
        <v>0.225</v>
      </c>
      <c r="E51" s="39" t="str">
        <f aca="false">IF(D51="","",IF(D51&lt;0,"打日期",IF(D51*1440&lt;=120,"J+2",IF(D51*1440&lt;=240,"J+4",IF(D51*1440&lt;=360,"J+6",IF(D51*1440&lt;=480,"J+8","8以上"))))))</f>
        <v>J+6</v>
      </c>
    </row>
    <row r="52" customFormat="false" ht="30" hidden="false" customHeight="true" outlineLevel="0" collapsed="false">
      <c r="A52" s="35" t="s">
        <v>76</v>
      </c>
      <c r="B52" s="36" t="n">
        <v>46268.4888888889</v>
      </c>
      <c r="C52" s="37" t="n">
        <v>0.676388888888889</v>
      </c>
      <c r="D52" s="38" t="n">
        <f aca="false">IF(OR(B52="",C52=""),"",ROUND((IF(C52&lt;1,INT(B52)+C52,C52)-B52)*1440,0)/1440)</f>
        <v>0.1875</v>
      </c>
      <c r="E52" s="39" t="str">
        <f aca="false">IF(D52="","",IF(D52&lt;0,"打日期",IF(D52*1440&lt;=120,"J+2",IF(D52*1440&lt;=240,"J+4",IF(D52*1440&lt;=360,"J+6",IF(D52*1440&lt;=480,"J+8","8以上"))))))</f>
        <v>J+6</v>
      </c>
    </row>
    <row r="53" customFormat="false" ht="30" hidden="false" customHeight="true" outlineLevel="0" collapsed="false">
      <c r="A53" s="35"/>
      <c r="B53" s="36"/>
      <c r="C53" s="37"/>
      <c r="D53" s="38" t="str">
        <f aca="false">IF(OR(B53="",C53=""),"",ROUND((IF(C53&lt;1,INT(B53)+C53,C53)-B53)*1440,0)/1440)</f>
        <v/>
      </c>
      <c r="E53" s="39" t="str">
        <f aca="false">IF(D53="","",IF(D53&lt;0,"打日期",IF(D53*1440&lt;=120,"J+2",IF(D53*1440&lt;=240,"J+4",IF(D53*1440&lt;=360,"J+6",IF(D53*1440&lt;=480,"J+8","8以上"))))))</f>
        <v/>
      </c>
    </row>
    <row r="54" customFormat="false" ht="30" hidden="false" customHeight="true" outlineLevel="0" collapsed="false">
      <c r="A54" s="35"/>
      <c r="B54" s="36"/>
      <c r="C54" s="37"/>
      <c r="D54" s="38" t="str">
        <f aca="false">IF(OR(B54="",C54=""),"",ROUND((IF(C54&lt;1,INT(B54)+C54,C54)-B54)*1440,0)/1440)</f>
        <v/>
      </c>
      <c r="E54" s="39" t="str">
        <f aca="false">IF(D54="","",IF(D54&lt;0,"打日期",IF(D54*1440&lt;=120,"J+2",IF(D54*1440&lt;=240,"J+4",IF(D54*1440&lt;=360,"J+6",IF(D54*1440&lt;=480,"J+8","8以上"))))))</f>
        <v/>
      </c>
    </row>
    <row r="55" customFormat="false" ht="30" hidden="false" customHeight="true" outlineLevel="0" collapsed="false">
      <c r="A55" s="35"/>
      <c r="B55" s="36"/>
      <c r="C55" s="37"/>
      <c r="D55" s="38" t="str">
        <f aca="false">IF(OR(B55="",C55=""),"",ROUND((IF(C55&lt;1,INT(B55)+C55,C55)-B55)*1440,0)/1440)</f>
        <v/>
      </c>
      <c r="E55" s="39" t="str">
        <f aca="false">IF(D55="","",IF(D55&lt;0,"打日期",IF(D55*1440&lt;=120,"J+2",IF(D55*1440&lt;=240,"J+4",IF(D55*1440&lt;=360,"J+6",IF(D55*1440&lt;=480,"J+8","8以上"))))))</f>
        <v/>
      </c>
    </row>
    <row r="56" customFormat="false" ht="30" hidden="false" customHeight="true" outlineLevel="0" collapsed="false">
      <c r="A56" s="35"/>
      <c r="B56" s="36"/>
      <c r="C56" s="37"/>
      <c r="D56" s="38" t="str">
        <f aca="false">IF(OR(B56="",C56=""),"",ROUND((IF(C56&lt;1,INT(B56)+C56,C56)-B56)*1440,0)/1440)</f>
        <v/>
      </c>
      <c r="E56" s="39" t="str">
        <f aca="false">IF(D56="","",IF(D56&lt;0,"打日期",IF(D56*1440&lt;=120,"J+2",IF(D56*1440&lt;=240,"J+4",IF(D56*1440&lt;=360,"J+6",IF(D56*1440&lt;=480,"J+8","8以上"))))))</f>
        <v/>
      </c>
    </row>
    <row r="57" customFormat="false" ht="30" hidden="false" customHeight="true" outlineLevel="0" collapsed="false">
      <c r="A57" s="35"/>
      <c r="B57" s="36"/>
      <c r="C57" s="37"/>
      <c r="D57" s="38" t="str">
        <f aca="false">IF(OR(B57="",C57=""),"",ROUND((IF(C57&lt;1,INT(B57)+C57,C57)-B57)*1440,0)/1440)</f>
        <v/>
      </c>
      <c r="E57" s="39" t="str">
        <f aca="false">IF(D57="","",IF(D57&lt;0,"打日期",IF(D57*1440&lt;=120,"J+2",IF(D57*1440&lt;=240,"J+4",IF(D57*1440&lt;=360,"J+6",IF(D57*1440&lt;=480,"J+8","8以上"))))))</f>
        <v/>
      </c>
    </row>
    <row r="58" customFormat="false" ht="75" hidden="false" customHeight="true" outlineLevel="0" collapsed="false">
      <c r="A58" s="40" t="s">
        <v>37</v>
      </c>
      <c r="B58" s="40"/>
      <c r="C58" s="40"/>
      <c r="D58" s="40"/>
      <c r="E58" s="40"/>
    </row>
    <row r="60" customFormat="false" ht="21" hidden="false" customHeight="true" outlineLevel="0" collapsed="false">
      <c r="A60" s="41" t="s">
        <v>35</v>
      </c>
      <c r="C60" s="41" t="s">
        <v>28</v>
      </c>
    </row>
    <row r="61" customFormat="false" ht="39.75" hidden="false" customHeight="true" outlineLevel="0" collapsed="false">
      <c r="A61" s="33" t="str">
        <f aca="false">"中和郵務股"&amp;'09'!$G$2&amp;'09'!$H$2&amp;"份 轉口 快捷郵遞時效表"</f>
        <v>中和郵務股115年9月份 轉口 快捷郵遞時效表</v>
      </c>
      <c r="B61" s="33"/>
      <c r="C61" s="33"/>
      <c r="D61" s="33"/>
      <c r="E61" s="33"/>
    </row>
    <row r="62" customFormat="false" ht="30" hidden="false" customHeight="true" outlineLevel="0" collapsed="false">
      <c r="A62" s="34" t="s">
        <v>29</v>
      </c>
      <c r="B62" s="34" t="s">
        <v>30</v>
      </c>
      <c r="C62" s="34" t="s">
        <v>31</v>
      </c>
      <c r="D62" s="34" t="s">
        <v>32</v>
      </c>
      <c r="E62" s="34" t="s">
        <v>33</v>
      </c>
    </row>
    <row r="63" customFormat="false" ht="30" hidden="false" customHeight="true" outlineLevel="0" collapsed="false">
      <c r="A63" s="35" t="s">
        <v>77</v>
      </c>
      <c r="B63" s="36" t="n">
        <v>46266.3895833333</v>
      </c>
      <c r="C63" s="37" t="n">
        <v>0.552777777777778</v>
      </c>
      <c r="D63" s="38" t="n">
        <f aca="false">IF(OR(B63="",C63=""),"",ROUND((IF(C63&lt;1,INT(B63)+C63,C63)-B63)*1440,0)/1440)</f>
        <v>0.163194444444444</v>
      </c>
      <c r="E63" s="39" t="str">
        <f aca="false">IF(D63="","",IF(D63&lt;0,"打日期",IF(D63*1440&lt;=120,"J+2",IF(D63*1440&lt;=240,"J+4",IF(D63*1440&lt;=360,"J+6",IF(D63*1440&lt;=480,"J+8","8以上"))))))</f>
        <v>J+4</v>
      </c>
    </row>
    <row r="64" customFormat="false" ht="30" hidden="false" customHeight="true" outlineLevel="0" collapsed="false">
      <c r="A64" s="35" t="s">
        <v>78</v>
      </c>
      <c r="B64" s="36" t="n">
        <v>46266.3604166667</v>
      </c>
      <c r="C64" s="37" t="n">
        <v>0.552083333333333</v>
      </c>
      <c r="D64" s="38" t="n">
        <f aca="false">IF(OR(B64="",C64=""),"",ROUND((IF(C64&lt;1,INT(B64)+C64,C64)-B64)*1440,0)/1440)</f>
        <v>0.191666666666667</v>
      </c>
      <c r="E64" s="39" t="str">
        <f aca="false">IF(D64="","",IF(D64&lt;0,"打日期",IF(D64*1440&lt;=120,"J+2",IF(D64*1440&lt;=240,"J+4",IF(D64*1440&lt;=360,"J+6",IF(D64*1440&lt;=480,"J+8","8以上"))))))</f>
        <v>J+6</v>
      </c>
    </row>
    <row r="65" customFormat="false" ht="30" hidden="false" customHeight="true" outlineLevel="0" collapsed="false">
      <c r="A65" s="35" t="s">
        <v>79</v>
      </c>
      <c r="B65" s="36" t="n">
        <v>46266.4041666667</v>
      </c>
      <c r="C65" s="37" t="n">
        <v>0.552083333333333</v>
      </c>
      <c r="D65" s="38" t="n">
        <f aca="false">IF(OR(B65="",C65=""),"",ROUND((IF(C65&lt;1,INT(B65)+C65,C65)-B65)*1440,0)/1440)</f>
        <v>0.147916666666667</v>
      </c>
      <c r="E65" s="39" t="str">
        <f aca="false">IF(D65="","",IF(D65&lt;0,"打日期",IF(D65*1440&lt;=120,"J+2",IF(D65*1440&lt;=240,"J+4",IF(D65*1440&lt;=360,"J+6",IF(D65*1440&lt;=480,"J+8","8以上"))))))</f>
        <v>J+4</v>
      </c>
    </row>
    <row r="66" customFormat="false" ht="30" hidden="false" customHeight="true" outlineLevel="0" collapsed="false">
      <c r="A66" s="35" t="s">
        <v>80</v>
      </c>
      <c r="B66" s="36" t="n">
        <v>46288.4548611111</v>
      </c>
      <c r="C66" s="37" t="n">
        <v>0.557638888888889</v>
      </c>
      <c r="D66" s="38" t="n">
        <f aca="false">IF(OR(B66="",C66=""),"",ROUND((IF(C66&lt;1,INT(B66)+C66,C66)-B66)*1440,0)/1440)</f>
        <v>0.102777777777778</v>
      </c>
      <c r="E66" s="39" t="str">
        <f aca="false">IF(D66="","",IF(D66&lt;0,"打日期",IF(D66*1440&lt;=120,"J+2",IF(D66*1440&lt;=240,"J+4",IF(D66*1440&lt;=360,"J+6",IF(D66*1440&lt;=480,"J+8","8以上"))))))</f>
        <v>J+4</v>
      </c>
    </row>
    <row r="67" customFormat="false" ht="30" hidden="false" customHeight="true" outlineLevel="0" collapsed="false">
      <c r="A67" s="35" t="s">
        <v>81</v>
      </c>
      <c r="B67" s="36" t="n">
        <v>46288.3611111111</v>
      </c>
      <c r="C67" s="37" t="n">
        <v>0.55625</v>
      </c>
      <c r="D67" s="38" t="n">
        <f aca="false">IF(OR(B67="",C67=""),"",ROUND((IF(C67&lt;1,INT(B67)+C67,C67)-B67)*1440,0)/1440)</f>
        <v>0.195138888888889</v>
      </c>
      <c r="E67" s="39" t="str">
        <f aca="false">IF(D67="","",IF(D67&lt;0,"打日期",IF(D67*1440&lt;=120,"J+2",IF(D67*1440&lt;=240,"J+4",IF(D67*1440&lt;=360,"J+6",IF(D67*1440&lt;=480,"J+8","8以上"))))))</f>
        <v>J+6</v>
      </c>
    </row>
    <row r="68" customFormat="false" ht="30" hidden="false" customHeight="true" outlineLevel="0" collapsed="false">
      <c r="A68" s="35" t="s">
        <v>82</v>
      </c>
      <c r="B68" s="36" t="n">
        <v>46288.3909722222</v>
      </c>
      <c r="C68" s="37" t="n">
        <v>0.558333333333333</v>
      </c>
      <c r="D68" s="38" t="n">
        <f aca="false">IF(OR(B68="",C68=""),"",ROUND((IF(C68&lt;1,INT(B68)+C68,C68)-B68)*1440,0)/1440)</f>
        <v>0.167361111111111</v>
      </c>
      <c r="E68" s="39" t="str">
        <f aca="false">IF(D68="","",IF(D68&lt;0,"打日期",IF(D68*1440&lt;=120,"J+2",IF(D68*1440&lt;=240,"J+4",IF(D68*1440&lt;=360,"J+6",IF(D68*1440&lt;=480,"J+8","8以上"))))))</f>
        <v>J+6</v>
      </c>
    </row>
    <row r="69" customFormat="false" ht="30" hidden="false" customHeight="true" outlineLevel="0" collapsed="false">
      <c r="A69" s="35" t="s">
        <v>83</v>
      </c>
      <c r="B69" s="36" t="n">
        <v>46276.38125</v>
      </c>
      <c r="C69" s="37" t="n">
        <v>0.547916666666667</v>
      </c>
      <c r="D69" s="38" t="n">
        <f aca="false">IF(OR(B69="",C69=""),"",ROUND((IF(C69&lt;1,INT(B69)+C69,C69)-B69)*1440,0)/1440)</f>
        <v>0.166666666666667</v>
      </c>
      <c r="E69" s="39" t="str">
        <f aca="false">IF(D69="","",IF(D69&lt;0,"打日期",IF(D69*1440&lt;=120,"J+2",IF(D69*1440&lt;=240,"J+4",IF(D69*1440&lt;=360,"J+6",IF(D69*1440&lt;=480,"J+8","8以上"))))))</f>
        <v>J+4</v>
      </c>
    </row>
    <row r="70" customFormat="false" ht="30" hidden="false" customHeight="true" outlineLevel="0" collapsed="false">
      <c r="A70" s="35" t="s">
        <v>84</v>
      </c>
      <c r="B70" s="36" t="n">
        <v>46276.4381944445</v>
      </c>
      <c r="C70" s="37" t="n">
        <v>0.546527777777778</v>
      </c>
      <c r="D70" s="38" t="n">
        <f aca="false">IF(OR(B70="",C70=""),"",ROUND((IF(C70&lt;1,INT(B70)+C70,C70)-B70)*1440,0)/1440)</f>
        <v>0.108333333333333</v>
      </c>
      <c r="E70" s="39" t="str">
        <f aca="false">IF(D70="","",IF(D70&lt;0,"打日期",IF(D70*1440&lt;=120,"J+2",IF(D70*1440&lt;=240,"J+4",IF(D70*1440&lt;=360,"J+6",IF(D70*1440&lt;=480,"J+8","8以上"))))))</f>
        <v>J+4</v>
      </c>
    </row>
    <row r="71" customFormat="false" ht="30" hidden="false" customHeight="true" outlineLevel="0" collapsed="false">
      <c r="A71" s="35" t="s">
        <v>85</v>
      </c>
      <c r="B71" s="36" t="n">
        <v>46276.4298611111</v>
      </c>
      <c r="C71" s="37" t="n">
        <v>0.546527777777778</v>
      </c>
      <c r="D71" s="38" t="n">
        <f aca="false">IF(OR(B71="",C71=""),"",ROUND((IF(C71&lt;1,INT(B71)+C71,C71)-B71)*1440,0)/1440)</f>
        <v>0.116666666666667</v>
      </c>
      <c r="E71" s="39" t="str">
        <f aca="false">IF(D71="","",IF(D71&lt;0,"打日期",IF(D71*1440&lt;=120,"J+2",IF(D71*1440&lt;=240,"J+4",IF(D71*1440&lt;=360,"J+6",IF(D71*1440&lt;=480,"J+8","8以上"))))))</f>
        <v>J+4</v>
      </c>
    </row>
    <row r="72" customFormat="false" ht="30" hidden="false" customHeight="true" outlineLevel="0" collapsed="false">
      <c r="A72" s="35" t="s">
        <v>86</v>
      </c>
      <c r="B72" s="36" t="n">
        <v>46276.4</v>
      </c>
      <c r="C72" s="37" t="n">
        <v>0.548611111111111</v>
      </c>
      <c r="D72" s="38" t="n">
        <f aca="false">IF(OR(B72="",C72=""),"",ROUND((IF(C72&lt;1,INT(B72)+C72,C72)-B72)*1440,0)/1440)</f>
        <v>0.148611111111111</v>
      </c>
      <c r="E72" s="39" t="str">
        <f aca="false">IF(D72="","",IF(D72&lt;0,"打日期",IF(D72*1440&lt;=120,"J+2",IF(D72*1440&lt;=240,"J+4",IF(D72*1440&lt;=360,"J+6",IF(D72*1440&lt;=480,"J+8","8以上"))))))</f>
        <v>J+4</v>
      </c>
    </row>
    <row r="73" customFormat="false" ht="30" hidden="false" customHeight="true" outlineLevel="0" collapsed="false">
      <c r="A73" s="35"/>
      <c r="B73" s="36"/>
      <c r="C73" s="37"/>
      <c r="D73" s="38" t="str">
        <f aca="false">IF(OR(B73="",C73=""),"",ROUND((IF(C73&lt;1,INT(B73)+C73,C73)-B73)*1440,0)/1440)</f>
        <v/>
      </c>
      <c r="E73" s="39" t="str">
        <f aca="false">IF(D73="","",IF(D73&lt;0,"打日期",IF(D73*1440&lt;=120,"J+2",IF(D73*1440&lt;=240,"J+4",IF(D73*1440&lt;=360,"J+6",IF(D73*1440&lt;=480,"J+8","8以上"))))))</f>
        <v/>
      </c>
    </row>
    <row r="74" customFormat="false" ht="30" hidden="false" customHeight="true" outlineLevel="0" collapsed="false">
      <c r="A74" s="35"/>
      <c r="B74" s="36"/>
      <c r="C74" s="37"/>
      <c r="D74" s="38" t="str">
        <f aca="false">IF(OR(B74="",C74=""),"",ROUND((IF(C74&lt;1,INT(B74)+C74,C74)-B74)*1440,0)/1440)</f>
        <v/>
      </c>
      <c r="E74" s="39" t="str">
        <f aca="false">IF(D74="","",IF(D74&lt;0,"打日期",IF(D74*1440&lt;=120,"J+2",IF(D74*1440&lt;=240,"J+4",IF(D74*1440&lt;=360,"J+6",IF(D74*1440&lt;=480,"J+8","8以上"))))))</f>
        <v/>
      </c>
    </row>
    <row r="75" customFormat="false" ht="30" hidden="false" customHeight="true" outlineLevel="0" collapsed="false">
      <c r="A75" s="35"/>
      <c r="B75" s="36"/>
      <c r="C75" s="37"/>
      <c r="D75" s="38" t="str">
        <f aca="false">IF(OR(B75="",C75=""),"",ROUND((IF(C75&lt;1,INT(B75)+C75,C75)-B75)*1440,0)/1440)</f>
        <v/>
      </c>
      <c r="E75" s="39" t="str">
        <f aca="false">IF(D75="","",IF(D75&lt;0,"打日期",IF(D75*1440&lt;=120,"J+2",IF(D75*1440&lt;=240,"J+4",IF(D75*1440&lt;=360,"J+6",IF(D75*1440&lt;=480,"J+8","8以上"))))))</f>
        <v/>
      </c>
    </row>
    <row r="76" customFormat="false" ht="30" hidden="false" customHeight="true" outlineLevel="0" collapsed="false">
      <c r="A76" s="35"/>
      <c r="B76" s="36"/>
      <c r="C76" s="37"/>
      <c r="D76" s="38" t="str">
        <f aca="false">IF(OR(B76="",C76=""),"",ROUND((IF(C76&lt;1,INT(B76)+C76,C76)-B76)*1440,0)/1440)</f>
        <v/>
      </c>
      <c r="E76" s="39" t="str">
        <f aca="false">IF(D76="","",IF(D76&lt;0,"打日期",IF(D76*1440&lt;=120,"J+2",IF(D76*1440&lt;=240,"J+4",IF(D76*1440&lt;=360,"J+6",IF(D76*1440&lt;=480,"J+8","8以上"))))))</f>
        <v/>
      </c>
    </row>
    <row r="77" customFormat="false" ht="30" hidden="false" customHeight="true" outlineLevel="0" collapsed="false">
      <c r="A77" s="35"/>
      <c r="B77" s="36"/>
      <c r="C77" s="37"/>
      <c r="D77" s="38" t="str">
        <f aca="false">IF(OR(B77="",C77=""),"",ROUND((IF(C77&lt;1,INT(B77)+C77,C77)-B77)*1440,0)/1440)</f>
        <v/>
      </c>
      <c r="E77" s="39" t="str">
        <f aca="false">IF(D77="","",IF(D77&lt;0,"打日期",IF(D77*1440&lt;=120,"J+2",IF(D77*1440&lt;=240,"J+4",IF(D77*1440&lt;=360,"J+6",IF(D77*1440&lt;=480,"J+8","8以上"))))))</f>
        <v/>
      </c>
    </row>
    <row r="78" customFormat="false" ht="75" hidden="false" customHeight="true" outlineLevel="0" collapsed="false">
      <c r="A78" s="40" t="s">
        <v>38</v>
      </c>
      <c r="B78" s="40"/>
      <c r="C78" s="40"/>
      <c r="D78" s="40"/>
      <c r="E78" s="40"/>
    </row>
    <row r="80" customFormat="false" ht="21" hidden="false" customHeight="true" outlineLevel="0" collapsed="false">
      <c r="A80" s="41" t="s">
        <v>35</v>
      </c>
      <c r="C80" s="41" t="s">
        <v>28</v>
      </c>
    </row>
  </sheetData>
  <mergeCells count="8">
    <mergeCell ref="A1:E1"/>
    <mergeCell ref="A18:E18"/>
    <mergeCell ref="A21:E21"/>
    <mergeCell ref="A38:E38"/>
    <mergeCell ref="A41:E41"/>
    <mergeCell ref="A58:E58"/>
    <mergeCell ref="A61:E61"/>
    <mergeCell ref="A78:E78"/>
  </mergeCells>
  <printOptions headings="false" gridLines="false" gridLinesSet="true" horizontalCentered="true" verticalCentered="false"/>
  <pageMargins left="0.5" right="0.5" top="0.5" bottom="0.5" header="0.511811023622047" footer="0.511811023622047"/>
  <pageSetup paperSize="9" scale="9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3" manualBreakCount="3">
    <brk id="20" man="true" max="16383" min="0"/>
    <brk id="40" man="true" max="16383" min="0"/>
    <brk id="60" man="true" max="16383" min="0"/>
  </rowBreak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true"/>
  </sheetPr>
  <dimension ref="A1:O1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L7" activeCellId="0" sqref="L7"/>
    </sheetView>
  </sheetViews>
  <sheetFormatPr defaultColWidth="8.87890625" defaultRowHeight="16.5" zeroHeight="false" outlineLevelRow="0" outlineLevelCol="0"/>
  <cols>
    <col collapsed="false" customWidth="true" hidden="false" outlineLevel="0" max="1" min="1" style="1" width="2.75"/>
    <col collapsed="false" customWidth="true" hidden="false" outlineLevel="0" max="2" min="2" style="1" width="21.5"/>
    <col collapsed="false" customWidth="true" hidden="false" outlineLevel="0" max="15" min="3" style="1" width="11"/>
    <col collapsed="false" customWidth="false" hidden="false" outlineLevel="0" max="16384" min="16" style="1" width="8.88"/>
  </cols>
  <sheetData>
    <row r="1" customFormat="false" ht="43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43.5" hidden="false" customHeight="true" outlineLevel="0" collapsed="false">
      <c r="A2" s="3"/>
      <c r="F2" s="4"/>
      <c r="G2" s="5" t="str">
        <f aca="false">'01'!G2</f>
        <v>115年</v>
      </c>
      <c r="H2" s="6" t="s">
        <v>87</v>
      </c>
      <c r="I2" s="4"/>
    </row>
    <row r="3" customFormat="false" ht="48.75" hidden="false" customHeight="true" outlineLevel="0" collapsed="false">
      <c r="A3" s="7" t="s">
        <v>3</v>
      </c>
      <c r="B3" s="7"/>
      <c r="C3" s="8" t="s">
        <v>4</v>
      </c>
      <c r="D3" s="9" t="s">
        <v>5</v>
      </c>
      <c r="E3" s="10" t="s">
        <v>6</v>
      </c>
      <c r="F3" s="9" t="s">
        <v>7</v>
      </c>
      <c r="G3" s="10" t="s">
        <v>8</v>
      </c>
      <c r="H3" s="9" t="s">
        <v>9</v>
      </c>
      <c r="I3" s="10" t="s">
        <v>10</v>
      </c>
      <c r="J3" s="9" t="s">
        <v>11</v>
      </c>
      <c r="K3" s="10" t="s">
        <v>12</v>
      </c>
      <c r="L3" s="9" t="s">
        <v>13</v>
      </c>
      <c r="M3" s="10" t="s">
        <v>14</v>
      </c>
      <c r="N3" s="11" t="s">
        <v>15</v>
      </c>
      <c r="O3" s="8" t="s">
        <v>16</v>
      </c>
    </row>
    <row r="4" customFormat="false" ht="50.25" hidden="false" customHeight="true" outlineLevel="0" collapsed="false">
      <c r="A4" s="12" t="s">
        <v>17</v>
      </c>
      <c r="B4" s="12"/>
      <c r="C4" s="13" t="n">
        <f aca="false">D4+F4+H4+J4+L4</f>
        <v>0</v>
      </c>
      <c r="D4" s="14" t="n">
        <f aca="false">COUNTIF(10子本!$E$3:$E$17,"J+2")</f>
        <v>0</v>
      </c>
      <c r="E4" s="15" t="str">
        <f aca="false">IF($C4=0,"",D4/$C4)</f>
        <v/>
      </c>
      <c r="F4" s="14" t="n">
        <f aca="false">COUNTIF(10子本!$E$3:$E$17,"J+4")</f>
        <v>0</v>
      </c>
      <c r="G4" s="15" t="str">
        <f aca="false">IF($C4=0,"",F4/$C4)</f>
        <v/>
      </c>
      <c r="H4" s="14" t="n">
        <f aca="false">COUNTIF(10子本!$E$3:$E$17,"J+6")</f>
        <v>0</v>
      </c>
      <c r="I4" s="15" t="str">
        <f aca="false">IF($C4=0,"",H4/$C4)</f>
        <v/>
      </c>
      <c r="J4" s="14" t="n">
        <f aca="false">COUNTIF(10子本!$E$3:$E$17,"J+8")</f>
        <v>0</v>
      </c>
      <c r="K4" s="15" t="str">
        <f aca="false">IF($C4=0,"",J4/$C4)</f>
        <v/>
      </c>
      <c r="L4" s="14" t="n">
        <f aca="false">COUNTIF(10子本!$E$3:$E$17,"8以上")</f>
        <v>0</v>
      </c>
      <c r="M4" s="15" t="str">
        <f aca="false">IF($C4=0,"",L4/$C4)</f>
        <v/>
      </c>
      <c r="N4" s="16" t="n">
        <v>1</v>
      </c>
      <c r="O4" s="17" t="str">
        <f aca="false">IF($C4=0,"",(D4*2+F4*4+H4*6+J4*8+L4*8)/$C4)</f>
        <v/>
      </c>
    </row>
    <row r="5" customFormat="false" ht="50.25" hidden="false" customHeight="true" outlineLevel="0" collapsed="false">
      <c r="A5" s="12" t="s">
        <v>18</v>
      </c>
      <c r="B5" s="12"/>
      <c r="C5" s="13" t="n">
        <f aca="false">D5+F5+H5+J5+L5</f>
        <v>15</v>
      </c>
      <c r="D5" s="14" t="n">
        <f aca="false">COUNTIF(10子本!$E$23:$E$37,"J+2")</f>
        <v>0</v>
      </c>
      <c r="E5" s="15" t="n">
        <f aca="false">IF($C5=0,"",D5/$C5)</f>
        <v>0</v>
      </c>
      <c r="F5" s="14" t="n">
        <f aca="false">COUNTIF(10子本!$E$23:$E$37,"J+4")</f>
        <v>0</v>
      </c>
      <c r="G5" s="15" t="n">
        <f aca="false">IF($C5=0,"",F5/$C5)</f>
        <v>0</v>
      </c>
      <c r="H5" s="14" t="n">
        <f aca="false">COUNTIF(10子本!$E$23:$E$37,"J+6")</f>
        <v>2</v>
      </c>
      <c r="I5" s="15" t="n">
        <f aca="false">IF($C5=0,"",H5/$C5)</f>
        <v>0.133333333333333</v>
      </c>
      <c r="J5" s="14" t="n">
        <f aca="false">COUNTIF(10子本!$E$23:$E$37,"J+8")</f>
        <v>13</v>
      </c>
      <c r="K5" s="15" t="n">
        <f aca="false">IF($C5=0,"",J5/$C5)</f>
        <v>0.866666666666667</v>
      </c>
      <c r="L5" s="14" t="n">
        <f aca="false">COUNTIF(10子本!$E$23:$E$37,"8以上")</f>
        <v>0</v>
      </c>
      <c r="M5" s="15" t="n">
        <f aca="false">IF($C5=0,"",L5/$C5)</f>
        <v>0</v>
      </c>
      <c r="N5" s="16" t="n">
        <v>1</v>
      </c>
      <c r="O5" s="17" t="n">
        <f aca="false">IF($C5=0,"",(D5*2+F5*4+H5*6+J5*8+L5*8)/$C5)</f>
        <v>7.73333333333333</v>
      </c>
    </row>
    <row r="6" customFormat="false" ht="54.75" hidden="false" customHeight="true" outlineLevel="0" collapsed="false">
      <c r="A6" s="18" t="s">
        <v>19</v>
      </c>
      <c r="B6" s="18"/>
      <c r="C6" s="13" t="n">
        <f aca="false">D6+F6+H6+J6+L6</f>
        <v>2</v>
      </c>
      <c r="D6" s="14" t="n">
        <f aca="false">COUNTIF(10子本!$E$43:$E$57,"J+2")</f>
        <v>0</v>
      </c>
      <c r="E6" s="15" t="n">
        <f aca="false">IF($C6=0,"",D6/$C6)</f>
        <v>0</v>
      </c>
      <c r="F6" s="14" t="n">
        <f aca="false">COUNTIF(10子本!$E$43:$E$57,"J+4")</f>
        <v>1</v>
      </c>
      <c r="G6" s="15" t="n">
        <f aca="false">IF($C6=0,"",F6/$C6)</f>
        <v>0.5</v>
      </c>
      <c r="H6" s="14" t="n">
        <f aca="false">COUNTIF(10子本!$E$43:$E$57,"J+6")</f>
        <v>1</v>
      </c>
      <c r="I6" s="15" t="n">
        <f aca="false">IF($C6=0,"",H6/$C6)</f>
        <v>0.5</v>
      </c>
      <c r="J6" s="14" t="n">
        <f aca="false">COUNTIF(10子本!$E$43:$E$57,"J+8")</f>
        <v>0</v>
      </c>
      <c r="K6" s="15" t="n">
        <f aca="false">IF($C6=0,"",J6/$C6)</f>
        <v>0</v>
      </c>
      <c r="L6" s="14" t="n">
        <f aca="false">COUNTIF(10子本!$E$43:$E$57,"8以上")</f>
        <v>0</v>
      </c>
      <c r="M6" s="15" t="n">
        <f aca="false">IF($C6=0,"",L6/$C6)</f>
        <v>0</v>
      </c>
      <c r="N6" s="16" t="n">
        <v>1</v>
      </c>
      <c r="O6" s="17" t="n">
        <f aca="false">IF($C6=0,"",(D6*2+F6*4+H6*6+J6*8+L6*8)/$C6)</f>
        <v>5</v>
      </c>
    </row>
    <row r="7" customFormat="false" ht="50.25" hidden="false" customHeight="true" outlineLevel="0" collapsed="false">
      <c r="A7" s="19" t="s">
        <v>20</v>
      </c>
      <c r="B7" s="19"/>
      <c r="C7" s="13" t="n">
        <f aca="false">D7+F7+H7+J7+L7</f>
        <v>10</v>
      </c>
      <c r="D7" s="14" t="n">
        <f aca="false">COUNTIF(10子本!$E$63:$E$77,"J+2")</f>
        <v>0</v>
      </c>
      <c r="E7" s="15" t="n">
        <f aca="false">IF($C7=0,"",D7/$C7)</f>
        <v>0</v>
      </c>
      <c r="F7" s="14" t="n">
        <f aca="false">COUNTIF(10子本!$E$63:$E$77,"J+4")</f>
        <v>0</v>
      </c>
      <c r="G7" s="15" t="n">
        <f aca="false">IF($C7=0,"",F7/$C7)</f>
        <v>0</v>
      </c>
      <c r="H7" s="14" t="n">
        <f aca="false">COUNTIF(10子本!$E$63:$E$77,"J+6")</f>
        <v>2</v>
      </c>
      <c r="I7" s="15" t="n">
        <f aca="false">IF($C7=0,"",H7/$C7)</f>
        <v>0.2</v>
      </c>
      <c r="J7" s="14" t="n">
        <f aca="false">COUNTIF(10子本!$E$63:$E$77,"J+8")</f>
        <v>8</v>
      </c>
      <c r="K7" s="15" t="n">
        <f aca="false">IF($C7=0,"",J7/$C7)</f>
        <v>0.8</v>
      </c>
      <c r="L7" s="14" t="n">
        <f aca="false">COUNTIF(10子本!$E$63:$E$77,"8以上")</f>
        <v>0</v>
      </c>
      <c r="M7" s="15" t="n">
        <f aca="false">IF($C7=0,"",L7/$C7)</f>
        <v>0</v>
      </c>
      <c r="N7" s="20" t="n">
        <v>1</v>
      </c>
      <c r="O7" s="17" t="n">
        <f aca="false">IF($C7=0,"",(D7*2+F7*4+H7*6+J7*8+L7*8)/$C7)</f>
        <v>7.6</v>
      </c>
    </row>
    <row r="8" customFormat="false" ht="21" hidden="false" customHeight="true" outlineLevel="0" collapsed="false">
      <c r="A8" s="21" t="s">
        <v>21</v>
      </c>
      <c r="B8" s="21"/>
      <c r="C8" s="22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</row>
    <row r="9" customFormat="false" ht="60.75" hidden="false" customHeight="true" outlineLevel="0" collapsed="false">
      <c r="A9" s="24" t="n">
        <v>1</v>
      </c>
      <c r="B9" s="25" t="s">
        <v>22</v>
      </c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</row>
    <row r="10" customFormat="false" ht="21" hidden="false" customHeight="true" outlineLevel="0" collapsed="false">
      <c r="A10" s="24" t="n">
        <v>2</v>
      </c>
      <c r="B10" s="26" t="s">
        <v>23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</row>
    <row r="11" customFormat="false" ht="39" hidden="false" customHeight="true" outlineLevel="0" collapsed="false">
      <c r="A11" s="24" t="n">
        <v>3</v>
      </c>
      <c r="B11" s="25" t="s">
        <v>24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customFormat="false" ht="39.75" hidden="false" customHeight="true" outlineLevel="0" collapsed="false">
      <c r="A12" s="24" t="n">
        <v>4</v>
      </c>
      <c r="B12" s="25" t="s">
        <v>25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</row>
    <row r="13" customFormat="false" ht="40.5" hidden="false" customHeight="true" outlineLevel="0" collapsed="false">
      <c r="A13" s="24" t="n">
        <v>5</v>
      </c>
      <c r="B13" s="25" t="s">
        <v>26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</row>
    <row r="14" customFormat="false" ht="21" hidden="false" customHeight="true" outlineLevel="0" collapsed="false">
      <c r="B14" s="27" t="s">
        <v>27</v>
      </c>
      <c r="C14" s="27"/>
      <c r="D14" s="28"/>
      <c r="E14" s="28"/>
      <c r="F14" s="29" t="s">
        <v>28</v>
      </c>
      <c r="G14" s="29"/>
      <c r="H14" s="30"/>
      <c r="I14" s="30"/>
      <c r="J14" s="31"/>
      <c r="K14" s="31"/>
      <c r="O14" s="28"/>
    </row>
  </sheetData>
  <mergeCells count="12">
    <mergeCell ref="A1:M1"/>
    <mergeCell ref="A3:B3"/>
    <mergeCell ref="A4:B4"/>
    <mergeCell ref="A5:B5"/>
    <mergeCell ref="A6:B6"/>
    <mergeCell ref="A7:B7"/>
    <mergeCell ref="A8:B8"/>
    <mergeCell ref="B9:O9"/>
    <mergeCell ref="B10:O10"/>
    <mergeCell ref="B11:O11"/>
    <mergeCell ref="B12:O12"/>
    <mergeCell ref="B13:O13"/>
  </mergeCells>
  <printOptions headings="false" gridLines="false" gridLinesSet="true" horizontalCentered="true" verticalCentered="true"/>
  <pageMargins left="0.157638888888889" right="0.551388888888889" top="0.196527777777778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E5CC"/>
    <pageSetUpPr fitToPage="false"/>
  </sheetPr>
  <dimension ref="A1:E8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" defaultRowHeight="21" zeroHeight="false" outlineLevelRow="0" outlineLevelCol="0"/>
  <cols>
    <col collapsed="false" customWidth="true" hidden="false" outlineLevel="0" max="1" min="1" style="32" width="34.63"/>
    <col collapsed="false" customWidth="true" hidden="false" outlineLevel="0" max="3" min="2" style="32" width="17.63"/>
    <col collapsed="false" customWidth="true" hidden="false" outlineLevel="0" max="5" min="4" style="32" width="9.63"/>
    <col collapsed="false" customWidth="false" hidden="false" outlineLevel="0" max="16384" min="6" style="32" width="9"/>
  </cols>
  <sheetData>
    <row r="1" customFormat="false" ht="39.75" hidden="false" customHeight="true" outlineLevel="0" collapsed="false">
      <c r="A1" s="33" t="str">
        <f aca="false">"中和郵務股"&amp;'10'!$G$2&amp;'10'!$H$2&amp;"份 本口 快捷郵遞時效表"</f>
        <v>中和郵務股115年10月份 本口 快捷郵遞時效表</v>
      </c>
      <c r="B1" s="33"/>
      <c r="C1" s="33"/>
      <c r="D1" s="33"/>
      <c r="E1" s="33"/>
    </row>
    <row r="2" customFormat="false" ht="30" hidden="false" customHeight="true" outlineLevel="0" collapsed="false">
      <c r="A2" s="34" t="s">
        <v>29</v>
      </c>
      <c r="B2" s="34" t="s">
        <v>30</v>
      </c>
      <c r="C2" s="34" t="s">
        <v>31</v>
      </c>
      <c r="D2" s="34" t="s">
        <v>32</v>
      </c>
      <c r="E2" s="34" t="s">
        <v>33</v>
      </c>
    </row>
    <row r="3" customFormat="false" ht="30" hidden="false" customHeight="true" outlineLevel="0" collapsed="false">
      <c r="A3" s="35"/>
      <c r="B3" s="36"/>
      <c r="C3" s="37"/>
      <c r="D3" s="38" t="str">
        <f aca="false">IF(OR(B3="",C3=""),"",ROUND((IF(C3&lt;1,INT(B3)+C3,C3)-B3)*1440,0)/1440)</f>
        <v/>
      </c>
      <c r="E3" s="39" t="str">
        <f aca="false">IF(D3="","",IF(D3&lt;0,"打日期",IF(D3*1440&lt;=120,"J+2",IF(D3*1440&lt;=240,"J+4",IF(D3*1440&lt;=360,"J+6",IF(D3*1440&lt;=480,"J+8","8以上"))))))</f>
        <v/>
      </c>
    </row>
    <row r="4" customFormat="false" ht="30" hidden="false" customHeight="true" outlineLevel="0" collapsed="false">
      <c r="A4" s="35"/>
      <c r="B4" s="36"/>
      <c r="C4" s="37"/>
      <c r="D4" s="38" t="str">
        <f aca="false">IF(OR(B4="",C4=""),"",ROUND((IF(C4&lt;1,INT(B4)+C4,C4)-B4)*1440,0)/1440)</f>
        <v/>
      </c>
      <c r="E4" s="39" t="str">
        <f aca="false">IF(D4="","",IF(D4&lt;0,"打日期",IF(D4*1440&lt;=120,"J+2",IF(D4*1440&lt;=240,"J+4",IF(D4*1440&lt;=360,"J+6",IF(D4*1440&lt;=480,"J+8","8以上"))))))</f>
        <v/>
      </c>
    </row>
    <row r="5" customFormat="false" ht="30" hidden="false" customHeight="true" outlineLevel="0" collapsed="false">
      <c r="A5" s="35"/>
      <c r="B5" s="36"/>
      <c r="C5" s="37"/>
      <c r="D5" s="38" t="str">
        <f aca="false">IF(OR(B5="",C5=""),"",ROUND((IF(C5&lt;1,INT(B5)+C5,C5)-B5)*1440,0)/1440)</f>
        <v/>
      </c>
      <c r="E5" s="39" t="str">
        <f aca="false">IF(D5="","",IF(D5&lt;0,"打日期",IF(D5*1440&lt;=120,"J+2",IF(D5*1440&lt;=240,"J+4",IF(D5*1440&lt;=360,"J+6",IF(D5*1440&lt;=480,"J+8","8以上"))))))</f>
        <v/>
      </c>
    </row>
    <row r="6" customFormat="false" ht="30" hidden="false" customHeight="true" outlineLevel="0" collapsed="false">
      <c r="A6" s="35"/>
      <c r="B6" s="36"/>
      <c r="C6" s="37"/>
      <c r="D6" s="38" t="str">
        <f aca="false">IF(OR(B6="",C6=""),"",ROUND((IF(C6&lt;1,INT(B6)+C6,C6)-B6)*1440,0)/1440)</f>
        <v/>
      </c>
      <c r="E6" s="39" t="str">
        <f aca="false">IF(D6="","",IF(D6&lt;0,"打日期",IF(D6*1440&lt;=120,"J+2",IF(D6*1440&lt;=240,"J+4",IF(D6*1440&lt;=360,"J+6",IF(D6*1440&lt;=480,"J+8","8以上"))))))</f>
        <v/>
      </c>
    </row>
    <row r="7" customFormat="false" ht="30" hidden="false" customHeight="true" outlineLevel="0" collapsed="false">
      <c r="A7" s="35"/>
      <c r="B7" s="36"/>
      <c r="C7" s="37"/>
      <c r="D7" s="38" t="str">
        <f aca="false">IF(OR(B7="",C7=""),"",ROUND((IF(C7&lt;1,INT(B7)+C7,C7)-B7)*1440,0)/1440)</f>
        <v/>
      </c>
      <c r="E7" s="39" t="str">
        <f aca="false">IF(D7="","",IF(D7&lt;0,"打日期",IF(D7*1440&lt;=120,"J+2",IF(D7*1440&lt;=240,"J+4",IF(D7*1440&lt;=360,"J+6",IF(D7*1440&lt;=480,"J+8","8以上"))))))</f>
        <v/>
      </c>
    </row>
    <row r="8" customFormat="false" ht="30" hidden="false" customHeight="true" outlineLevel="0" collapsed="false">
      <c r="A8" s="35"/>
      <c r="B8" s="36"/>
      <c r="C8" s="37"/>
      <c r="D8" s="38" t="str">
        <f aca="false">IF(OR(B8="",C8=""),"",ROUND((IF(C8&lt;1,INT(B8)+C8,C8)-B8)*1440,0)/1440)</f>
        <v/>
      </c>
      <c r="E8" s="39" t="str">
        <f aca="false">IF(D8="","",IF(D8&lt;0,"打日期",IF(D8*1440&lt;=120,"J+2",IF(D8*1440&lt;=240,"J+4",IF(D8*1440&lt;=360,"J+6",IF(D8*1440&lt;=480,"J+8","8以上"))))))</f>
        <v/>
      </c>
    </row>
    <row r="9" customFormat="false" ht="30" hidden="false" customHeight="true" outlineLevel="0" collapsed="false">
      <c r="A9" s="35"/>
      <c r="B9" s="36"/>
      <c r="C9" s="37"/>
      <c r="D9" s="38" t="str">
        <f aca="false">IF(OR(B9="",C9=""),"",ROUND((IF(C9&lt;1,INT(B9)+C9,C9)-B9)*1440,0)/1440)</f>
        <v/>
      </c>
      <c r="E9" s="39" t="str">
        <f aca="false">IF(D9="","",IF(D9&lt;0,"打日期",IF(D9*1440&lt;=120,"J+2",IF(D9*1440&lt;=240,"J+4",IF(D9*1440&lt;=360,"J+6",IF(D9*1440&lt;=480,"J+8","8以上"))))))</f>
        <v/>
      </c>
    </row>
    <row r="10" customFormat="false" ht="30" hidden="false" customHeight="true" outlineLevel="0" collapsed="false">
      <c r="A10" s="35"/>
      <c r="B10" s="36"/>
      <c r="C10" s="37"/>
      <c r="D10" s="38" t="str">
        <f aca="false">IF(OR(B10="",C10=""),"",ROUND((IF(C10&lt;1,INT(B10)+C10,C10)-B10)*1440,0)/1440)</f>
        <v/>
      </c>
      <c r="E10" s="39" t="str">
        <f aca="false">IF(D10="","",IF(D10&lt;0,"打日期",IF(D10*1440&lt;=120,"J+2",IF(D10*1440&lt;=240,"J+4",IF(D10*1440&lt;=360,"J+6",IF(D10*1440&lt;=480,"J+8","8以上"))))))</f>
        <v/>
      </c>
    </row>
    <row r="11" customFormat="false" ht="30" hidden="false" customHeight="true" outlineLevel="0" collapsed="false">
      <c r="A11" s="35"/>
      <c r="B11" s="36"/>
      <c r="C11" s="37"/>
      <c r="D11" s="38" t="str">
        <f aca="false">IF(OR(B11="",C11=""),"",ROUND((IF(C11&lt;1,INT(B11)+C11,C11)-B11)*1440,0)/1440)</f>
        <v/>
      </c>
      <c r="E11" s="39" t="str">
        <f aca="false">IF(D11="","",IF(D11&lt;0,"打日期",IF(D11*1440&lt;=120,"J+2",IF(D11*1440&lt;=240,"J+4",IF(D11*1440&lt;=360,"J+6",IF(D11*1440&lt;=480,"J+8","8以上"))))))</f>
        <v/>
      </c>
    </row>
    <row r="12" customFormat="false" ht="30" hidden="false" customHeight="true" outlineLevel="0" collapsed="false">
      <c r="A12" s="35"/>
      <c r="B12" s="36"/>
      <c r="C12" s="37"/>
      <c r="D12" s="38" t="str">
        <f aca="false">IF(OR(B12="",C12=""),"",ROUND((IF(C12&lt;1,INT(B12)+C12,C12)-B12)*1440,0)/1440)</f>
        <v/>
      </c>
      <c r="E12" s="39" t="str">
        <f aca="false">IF(D12="","",IF(D12&lt;0,"打日期",IF(D12*1440&lt;=120,"J+2",IF(D12*1440&lt;=240,"J+4",IF(D12*1440&lt;=360,"J+6",IF(D12*1440&lt;=480,"J+8","8以上"))))))</f>
        <v/>
      </c>
    </row>
    <row r="13" customFormat="false" ht="30" hidden="false" customHeight="true" outlineLevel="0" collapsed="false">
      <c r="A13" s="35"/>
      <c r="B13" s="36"/>
      <c r="C13" s="37"/>
      <c r="D13" s="38" t="str">
        <f aca="false">IF(OR(B13="",C13=""),"",ROUND((IF(C13&lt;1,INT(B13)+C13,C13)-B13)*1440,0)/1440)</f>
        <v/>
      </c>
      <c r="E13" s="39" t="str">
        <f aca="false">IF(D13="","",IF(D13&lt;0,"打日期",IF(D13*1440&lt;=120,"J+2",IF(D13*1440&lt;=240,"J+4",IF(D13*1440&lt;=360,"J+6",IF(D13*1440&lt;=480,"J+8","8以上"))))))</f>
        <v/>
      </c>
    </row>
    <row r="14" customFormat="false" ht="30" hidden="false" customHeight="true" outlineLevel="0" collapsed="false">
      <c r="A14" s="35"/>
      <c r="B14" s="36"/>
      <c r="C14" s="37"/>
      <c r="D14" s="38" t="str">
        <f aca="false">IF(OR(B14="",C14=""),"",ROUND((IF(C14&lt;1,INT(B14)+C14,C14)-B14)*1440,0)/1440)</f>
        <v/>
      </c>
      <c r="E14" s="39" t="str">
        <f aca="false">IF(D14="","",IF(D14&lt;0,"打日期",IF(D14*1440&lt;=120,"J+2",IF(D14*1440&lt;=240,"J+4",IF(D14*1440&lt;=360,"J+6",IF(D14*1440&lt;=480,"J+8","8以上"))))))</f>
        <v/>
      </c>
    </row>
    <row r="15" customFormat="false" ht="30" hidden="false" customHeight="true" outlineLevel="0" collapsed="false">
      <c r="A15" s="35"/>
      <c r="B15" s="36"/>
      <c r="C15" s="37"/>
      <c r="D15" s="38" t="str">
        <f aca="false">IF(OR(B15="",C15=""),"",ROUND((IF(C15&lt;1,INT(B15)+C15,C15)-B15)*1440,0)/1440)</f>
        <v/>
      </c>
      <c r="E15" s="39" t="str">
        <f aca="false">IF(D15="","",IF(D15&lt;0,"打日期",IF(D15*1440&lt;=120,"J+2",IF(D15*1440&lt;=240,"J+4",IF(D15*1440&lt;=360,"J+6",IF(D15*1440&lt;=480,"J+8","8以上"))))))</f>
        <v/>
      </c>
    </row>
    <row r="16" customFormat="false" ht="30" hidden="false" customHeight="true" outlineLevel="0" collapsed="false">
      <c r="A16" s="35"/>
      <c r="B16" s="36"/>
      <c r="C16" s="37"/>
      <c r="D16" s="38" t="str">
        <f aca="false">IF(OR(B16="",C16=""),"",ROUND((IF(C16&lt;1,INT(B16)+C16,C16)-B16)*1440,0)/1440)</f>
        <v/>
      </c>
      <c r="E16" s="39" t="str">
        <f aca="false">IF(D16="","",IF(D16&lt;0,"打日期",IF(D16*1440&lt;=120,"J+2",IF(D16*1440&lt;=240,"J+4",IF(D16*1440&lt;=360,"J+6",IF(D16*1440&lt;=480,"J+8","8以上"))))))</f>
        <v/>
      </c>
    </row>
    <row r="17" customFormat="false" ht="30" hidden="false" customHeight="true" outlineLevel="0" collapsed="false">
      <c r="A17" s="35"/>
      <c r="B17" s="36"/>
      <c r="C17" s="37"/>
      <c r="D17" s="38" t="str">
        <f aca="false">IF(OR(B17="",C17=""),"",ROUND((IF(C17&lt;1,INT(B17)+C17,C17)-B17)*1440,0)/1440)</f>
        <v/>
      </c>
      <c r="E17" s="39" t="str">
        <f aca="false">IF(D17="","",IF(D17&lt;0,"打日期",IF(D17*1440&lt;=120,"J+2",IF(D17*1440&lt;=240,"J+4",IF(D17*1440&lt;=360,"J+6",IF(D17*1440&lt;=480,"J+8","8以上"))))))</f>
        <v/>
      </c>
    </row>
    <row r="18" customFormat="false" ht="75" hidden="false" customHeight="true" outlineLevel="0" collapsed="false">
      <c r="A18" s="40" t="s">
        <v>34</v>
      </c>
      <c r="B18" s="40"/>
      <c r="C18" s="40"/>
      <c r="D18" s="40"/>
      <c r="E18" s="40"/>
    </row>
    <row r="20" customFormat="false" ht="21" hidden="false" customHeight="true" outlineLevel="0" collapsed="false">
      <c r="A20" s="41" t="s">
        <v>35</v>
      </c>
      <c r="C20" s="41" t="s">
        <v>28</v>
      </c>
    </row>
    <row r="21" customFormat="false" ht="39.75" hidden="false" customHeight="true" outlineLevel="0" collapsed="false">
      <c r="A21" s="33" t="str">
        <f aca="false">"中和郵務股"&amp;'10'!$G$2&amp;'10'!$H$2&amp;"份 十大都會區 快捷郵遞時效表"</f>
        <v>中和郵務股115年10月份 十大都會區 快捷郵遞時效表</v>
      </c>
      <c r="B21" s="33"/>
      <c r="C21" s="33"/>
      <c r="D21" s="33"/>
      <c r="E21" s="33"/>
    </row>
    <row r="22" customFormat="false" ht="30" hidden="false" customHeight="true" outlineLevel="0" collapsed="false">
      <c r="A22" s="34" t="s">
        <v>29</v>
      </c>
      <c r="B22" s="34" t="s">
        <v>30</v>
      </c>
      <c r="C22" s="34" t="s">
        <v>31</v>
      </c>
      <c r="D22" s="34" t="s">
        <v>32</v>
      </c>
      <c r="E22" s="34" t="s">
        <v>33</v>
      </c>
    </row>
    <row r="23" customFormat="false" ht="30" hidden="false" customHeight="true" outlineLevel="0" collapsed="false">
      <c r="A23" s="35" t="s">
        <v>88</v>
      </c>
      <c r="B23" s="36" t="n">
        <v>46296.35</v>
      </c>
      <c r="C23" s="37" t="n">
        <v>0.551388888888889</v>
      </c>
      <c r="D23" s="38" t="n">
        <f aca="false">IF(OR(B23="",C23=""),"",ROUND((IF(C23&lt;1,INT(B23)+C23,C23)-B23)*1440,0)/1440)</f>
        <v>0.201388888888889</v>
      </c>
      <c r="E23" s="39" t="str">
        <f aca="false">IF(D23="","",IF(D23&lt;0,"打日期",IF(D23*1440&lt;=120,"J+2",IF(D23*1440&lt;=240,"J+4",IF(D23*1440&lt;=360,"J+6",IF(D23*1440&lt;=480,"J+8","8以上"))))))</f>
        <v>J+6</v>
      </c>
    </row>
    <row r="24" customFormat="false" ht="30" hidden="false" customHeight="true" outlineLevel="0" collapsed="false">
      <c r="A24" s="35" t="s">
        <v>89</v>
      </c>
      <c r="B24" s="36" t="n">
        <v>46300.3416666667</v>
      </c>
      <c r="C24" s="37" t="n">
        <v>0.655555555555556</v>
      </c>
      <c r="D24" s="38" t="n">
        <f aca="false">IF(OR(B24="",C24=""),"",ROUND((IF(C24&lt;1,INT(B24)+C24,C24)-B24)*1440,0)/1440)</f>
        <v>0.313888888888889</v>
      </c>
      <c r="E24" s="39" t="str">
        <f aca="false">IF(D24="","",IF(D24&lt;0,"打日期",IF(D24*1440&lt;=120,"J+2",IF(D24*1440&lt;=240,"J+4",IF(D24*1440&lt;=360,"J+6",IF(D24*1440&lt;=480,"J+8","8以上"))))))</f>
        <v>J+8</v>
      </c>
    </row>
    <row r="25" customFormat="false" ht="30" hidden="false" customHeight="true" outlineLevel="0" collapsed="false">
      <c r="A25" s="35" t="s">
        <v>90</v>
      </c>
      <c r="B25" s="36" t="n">
        <v>46300.3444444445</v>
      </c>
      <c r="C25" s="37" t="n">
        <v>0.656944444444444</v>
      </c>
      <c r="D25" s="38" t="n">
        <f aca="false">IF(OR(B25="",C25=""),"",ROUND((IF(C25&lt;1,INT(B25)+C25,C25)-B25)*1440,0)/1440)</f>
        <v>0.3125</v>
      </c>
      <c r="E25" s="39" t="str">
        <f aca="false">IF(D25="","",IF(D25&lt;0,"打日期",IF(D25*1440&lt;=120,"J+2",IF(D25*1440&lt;=240,"J+4",IF(D25*1440&lt;=360,"J+6",IF(D25*1440&lt;=480,"J+8","8以上"))))))</f>
        <v>J+8</v>
      </c>
    </row>
    <row r="26" customFormat="false" ht="30" hidden="false" customHeight="true" outlineLevel="0" collapsed="false">
      <c r="A26" s="35" t="s">
        <v>91</v>
      </c>
      <c r="B26" s="36" t="n">
        <v>46300.3486111111</v>
      </c>
      <c r="C26" s="37" t="n">
        <v>0.65625</v>
      </c>
      <c r="D26" s="38" t="n">
        <f aca="false">IF(OR(B26="",C26=""),"",ROUND((IF(C26&lt;1,INT(B26)+C26,C26)-B26)*1440,0)/1440)</f>
        <v>0.307638888888889</v>
      </c>
      <c r="E26" s="39" t="str">
        <f aca="false">IF(D26="","",IF(D26&lt;0,"打日期",IF(D26*1440&lt;=120,"J+2",IF(D26*1440&lt;=240,"J+4",IF(D26*1440&lt;=360,"J+6",IF(D26*1440&lt;=480,"J+8","8以上"))))))</f>
        <v>J+8</v>
      </c>
    </row>
    <row r="27" customFormat="false" ht="30" hidden="false" customHeight="true" outlineLevel="0" collapsed="false">
      <c r="A27" s="35" t="s">
        <v>92</v>
      </c>
      <c r="B27" s="36" t="n">
        <v>46300.3493055556</v>
      </c>
      <c r="C27" s="37" t="n">
        <v>0.657638888888889</v>
      </c>
      <c r="D27" s="38" t="n">
        <f aca="false">IF(OR(B27="",C27=""),"",ROUND((IF(C27&lt;1,INT(B27)+C27,C27)-B27)*1440,0)/1440)</f>
        <v>0.308333333333333</v>
      </c>
      <c r="E27" s="39" t="str">
        <f aca="false">IF(D27="","",IF(D27&lt;0,"打日期",IF(D27*1440&lt;=120,"J+2",IF(D27*1440&lt;=240,"J+4",IF(D27*1440&lt;=360,"J+6",IF(D27*1440&lt;=480,"J+8","8以上"))))))</f>
        <v>J+8</v>
      </c>
    </row>
    <row r="28" customFormat="false" ht="30" hidden="false" customHeight="true" outlineLevel="0" collapsed="false">
      <c r="A28" s="35" t="s">
        <v>93</v>
      </c>
      <c r="B28" s="36" t="n">
        <v>46300.3555555556</v>
      </c>
      <c r="C28" s="37" t="n">
        <v>0.676388888888889</v>
      </c>
      <c r="D28" s="38" t="n">
        <f aca="false">IF(OR(B28="",C28=""),"",ROUND((IF(C28&lt;1,INT(B28)+C28,C28)-B28)*1440,0)/1440)</f>
        <v>0.320833333333333</v>
      </c>
      <c r="E28" s="39" t="str">
        <f aca="false">IF(D28="","",IF(D28&lt;0,"打日期",IF(D28*1440&lt;=120,"J+2",IF(D28*1440&lt;=240,"J+4",IF(D28*1440&lt;=360,"J+6",IF(D28*1440&lt;=480,"J+8","8以上"))))))</f>
        <v>J+8</v>
      </c>
    </row>
    <row r="29" customFormat="false" ht="30" hidden="false" customHeight="true" outlineLevel="0" collapsed="false">
      <c r="A29" s="35" t="s">
        <v>94</v>
      </c>
      <c r="B29" s="36" t="n">
        <v>46300.3576388889</v>
      </c>
      <c r="C29" s="37" t="n">
        <v>0.657638888888889</v>
      </c>
      <c r="D29" s="38" t="n">
        <f aca="false">IF(OR(B29="",C29=""),"",ROUND((IF(C29&lt;1,INT(B29)+C29,C29)-B29)*1440,0)/1440)</f>
        <v>0.3</v>
      </c>
      <c r="E29" s="39" t="str">
        <f aca="false">IF(D29="","",IF(D29&lt;0,"打日期",IF(D29*1440&lt;=120,"J+2",IF(D29*1440&lt;=240,"J+4",IF(D29*1440&lt;=360,"J+6",IF(D29*1440&lt;=480,"J+8","8以上"))))))</f>
        <v>J+8</v>
      </c>
    </row>
    <row r="30" customFormat="false" ht="30" hidden="false" customHeight="true" outlineLevel="0" collapsed="false">
      <c r="A30" s="35" t="s">
        <v>95</v>
      </c>
      <c r="B30" s="36" t="n">
        <v>46300.3618055556</v>
      </c>
      <c r="C30" s="37" t="n">
        <v>0.676388888888889</v>
      </c>
      <c r="D30" s="38" t="n">
        <f aca="false">IF(OR(B30="",C30=""),"",ROUND((IF(C30&lt;1,INT(B30)+C30,C30)-B30)*1440,0)/1440)</f>
        <v>0.314583333333333</v>
      </c>
      <c r="E30" s="39" t="str">
        <f aca="false">IF(D30="","",IF(D30&lt;0,"打日期",IF(D30*1440&lt;=120,"J+2",IF(D30*1440&lt;=240,"J+4",IF(D30*1440&lt;=360,"J+6",IF(D30*1440&lt;=480,"J+8","8以上"))))))</f>
        <v>J+8</v>
      </c>
    </row>
    <row r="31" customFormat="false" ht="30" hidden="false" customHeight="true" outlineLevel="0" collapsed="false">
      <c r="A31" s="35" t="s">
        <v>96</v>
      </c>
      <c r="B31" s="36" t="n">
        <v>46300.3854166667</v>
      </c>
      <c r="C31" s="37" t="n">
        <v>0.675694444444445</v>
      </c>
      <c r="D31" s="38" t="n">
        <f aca="false">IF(OR(B31="",C31=""),"",ROUND((IF(C31&lt;1,INT(B31)+C31,C31)-B31)*1440,0)/1440)</f>
        <v>0.290277777777778</v>
      </c>
      <c r="E31" s="39" t="str">
        <f aca="false">IF(D31="","",IF(D31&lt;0,"打日期",IF(D31*1440&lt;=120,"J+2",IF(D31*1440&lt;=240,"J+4",IF(D31*1440&lt;=360,"J+6",IF(D31*1440&lt;=480,"J+8","8以上"))))))</f>
        <v>J+8</v>
      </c>
    </row>
    <row r="32" customFormat="false" ht="30" hidden="false" customHeight="true" outlineLevel="0" collapsed="false">
      <c r="A32" s="35" t="s">
        <v>97</v>
      </c>
      <c r="B32" s="36" t="n">
        <v>46300.3875</v>
      </c>
      <c r="C32" s="37" t="n">
        <v>0.676388888888889</v>
      </c>
      <c r="D32" s="38" t="n">
        <f aca="false">IF(OR(B32="",C32=""),"",ROUND((IF(C32&lt;1,INT(B32)+C32,C32)-B32)*1440,0)/1440)</f>
        <v>0.288888888888889</v>
      </c>
      <c r="E32" s="39" t="str">
        <f aca="false">IF(D32="","",IF(D32&lt;0,"打日期",IF(D32*1440&lt;=120,"J+2",IF(D32*1440&lt;=240,"J+4",IF(D32*1440&lt;=360,"J+6",IF(D32*1440&lt;=480,"J+8","8以上"))))))</f>
        <v>J+8</v>
      </c>
    </row>
    <row r="33" customFormat="false" ht="30" hidden="false" customHeight="true" outlineLevel="0" collapsed="false">
      <c r="A33" s="35" t="s">
        <v>98</v>
      </c>
      <c r="B33" s="36" t="n">
        <v>46300.4020833333</v>
      </c>
      <c r="C33" s="37" t="n">
        <v>0.676388888888889</v>
      </c>
      <c r="D33" s="38" t="n">
        <f aca="false">IF(OR(B33="",C33=""),"",ROUND((IF(C33&lt;1,INT(B33)+C33,C33)-B33)*1440,0)/1440)</f>
        <v>0.274305555555556</v>
      </c>
      <c r="E33" s="39" t="str">
        <f aca="false">IF(D33="","",IF(D33&lt;0,"打日期",IF(D33*1440&lt;=120,"J+2",IF(D33*1440&lt;=240,"J+4",IF(D33*1440&lt;=360,"J+6",IF(D33*1440&lt;=480,"J+8","8以上"))))))</f>
        <v>J+8</v>
      </c>
    </row>
    <row r="34" customFormat="false" ht="30" hidden="false" customHeight="true" outlineLevel="0" collapsed="false">
      <c r="A34" s="35" t="s">
        <v>99</v>
      </c>
      <c r="B34" s="36" t="n">
        <v>46300.4097222222</v>
      </c>
      <c r="C34" s="37" t="n">
        <v>0.676388888888889</v>
      </c>
      <c r="D34" s="38" t="n">
        <f aca="false">IF(OR(B34="",C34=""),"",ROUND((IF(C34&lt;1,INT(B34)+C34,C34)-B34)*1440,0)/1440)</f>
        <v>0.266666666666667</v>
      </c>
      <c r="E34" s="39" t="str">
        <f aca="false">IF(D34="","",IF(D34&lt;0,"打日期",IF(D34*1440&lt;=120,"J+2",IF(D34*1440&lt;=240,"J+4",IF(D34*1440&lt;=360,"J+6",IF(D34*1440&lt;=480,"J+8","8以上"))))))</f>
        <v>J+8</v>
      </c>
    </row>
    <row r="35" customFormat="false" ht="30" hidden="false" customHeight="true" outlineLevel="0" collapsed="false">
      <c r="A35" s="35" t="s">
        <v>100</v>
      </c>
      <c r="B35" s="36" t="n">
        <v>46300.4229166667</v>
      </c>
      <c r="C35" s="37" t="n">
        <v>0.676388888888889</v>
      </c>
      <c r="D35" s="38" t="n">
        <f aca="false">IF(OR(B35="",C35=""),"",ROUND((IF(C35&lt;1,INT(B35)+C35,C35)-B35)*1440,0)/1440)</f>
        <v>0.253472222222222</v>
      </c>
      <c r="E35" s="39" t="str">
        <f aca="false">IF(D35="","",IF(D35&lt;0,"打日期",IF(D35*1440&lt;=120,"J+2",IF(D35*1440&lt;=240,"J+4",IF(D35*1440&lt;=360,"J+6",IF(D35*1440&lt;=480,"J+8","8以上"))))))</f>
        <v>J+8</v>
      </c>
    </row>
    <row r="36" customFormat="false" ht="30" hidden="false" customHeight="true" outlineLevel="0" collapsed="false">
      <c r="A36" s="35" t="s">
        <v>101</v>
      </c>
      <c r="B36" s="36" t="n">
        <v>46300.425</v>
      </c>
      <c r="C36" s="37" t="n">
        <v>0.675694444444445</v>
      </c>
      <c r="D36" s="38" t="n">
        <f aca="false">IF(OR(B36="",C36=""),"",ROUND((IF(C36&lt;1,INT(B36)+C36,C36)-B36)*1440,0)/1440)</f>
        <v>0.250694444444444</v>
      </c>
      <c r="E36" s="39" t="str">
        <f aca="false">IF(D36="","",IF(D36&lt;0,"打日期",IF(D36*1440&lt;=120,"J+2",IF(D36*1440&lt;=240,"J+4",IF(D36*1440&lt;=360,"J+6",IF(D36*1440&lt;=480,"J+8","8以上"))))))</f>
        <v>J+8</v>
      </c>
    </row>
    <row r="37" customFormat="false" ht="30" hidden="false" customHeight="true" outlineLevel="0" collapsed="false">
      <c r="A37" s="35" t="s">
        <v>102</v>
      </c>
      <c r="B37" s="36" t="n">
        <v>46300.4319444444</v>
      </c>
      <c r="C37" s="37" t="n">
        <v>0.676388888888889</v>
      </c>
      <c r="D37" s="38" t="n">
        <f aca="false">IF(OR(B37="",C37=""),"",ROUND((IF(C37&lt;1,INT(B37)+C37,C37)-B37)*1440,0)/1440)</f>
        <v>0.244444444444444</v>
      </c>
      <c r="E37" s="39" t="str">
        <f aca="false">IF(D37="","",IF(D37&lt;0,"打日期",IF(D37*1440&lt;=120,"J+2",IF(D37*1440&lt;=240,"J+4",IF(D37*1440&lt;=360,"J+6",IF(D37*1440&lt;=480,"J+8","8以上"))))))</f>
        <v>J+6</v>
      </c>
    </row>
    <row r="38" customFormat="false" ht="75" hidden="false" customHeight="true" outlineLevel="0" collapsed="false">
      <c r="A38" s="40" t="s">
        <v>36</v>
      </c>
      <c r="B38" s="40"/>
      <c r="C38" s="40"/>
      <c r="D38" s="40"/>
      <c r="E38" s="40"/>
    </row>
    <row r="40" customFormat="false" ht="21" hidden="false" customHeight="true" outlineLevel="0" collapsed="false">
      <c r="A40" s="41" t="s">
        <v>35</v>
      </c>
      <c r="C40" s="41" t="s">
        <v>28</v>
      </c>
    </row>
    <row r="41" customFormat="false" ht="39.75" hidden="false" customHeight="true" outlineLevel="0" collapsed="false">
      <c r="A41" s="33" t="str">
        <f aca="false">"中和郵務股"&amp;'10'!$G$2&amp;'10'!$H$2&amp;"份 區域內互寄 快捷郵遞時效表"</f>
        <v>中和郵務股115年10月份 區域內互寄 快捷郵遞時效表</v>
      </c>
      <c r="B41" s="33"/>
      <c r="C41" s="33"/>
      <c r="D41" s="33"/>
      <c r="E41" s="33"/>
    </row>
    <row r="42" customFormat="false" ht="30" hidden="false" customHeight="true" outlineLevel="0" collapsed="false">
      <c r="A42" s="34" t="s">
        <v>29</v>
      </c>
      <c r="B42" s="34" t="s">
        <v>30</v>
      </c>
      <c r="C42" s="34" t="s">
        <v>31</v>
      </c>
      <c r="D42" s="34" t="s">
        <v>32</v>
      </c>
      <c r="E42" s="34" t="s">
        <v>33</v>
      </c>
    </row>
    <row r="43" customFormat="false" ht="30" hidden="false" customHeight="true" outlineLevel="0" collapsed="false">
      <c r="A43" s="35" t="s">
        <v>103</v>
      </c>
      <c r="B43" s="36" t="n">
        <v>46296.3951388889</v>
      </c>
      <c r="C43" s="37" t="n">
        <v>0.55</v>
      </c>
      <c r="D43" s="38" t="n">
        <f aca="false">IF(OR(B43="",C43=""),"",ROUND((IF(C43&lt;1,INT(B43)+C43,C43)-B43)*1440,0)/1440)</f>
        <v>0.154861111111111</v>
      </c>
      <c r="E43" s="39" t="str">
        <f aca="false">IF(D43="","",IF(D43&lt;0,"打日期",IF(D43*1440&lt;=120,"J+2",IF(D43*1440&lt;=240,"J+4",IF(D43*1440&lt;=360,"J+6",IF(D43*1440&lt;=480,"J+8","8以上"))))))</f>
        <v>J+4</v>
      </c>
    </row>
    <row r="44" customFormat="false" ht="30" hidden="false" customHeight="true" outlineLevel="0" collapsed="false">
      <c r="A44" s="35" t="s">
        <v>104</v>
      </c>
      <c r="B44" s="36" t="n">
        <v>46296.4673611111</v>
      </c>
      <c r="C44" s="37" t="n">
        <v>0.670138888888889</v>
      </c>
      <c r="D44" s="38" t="n">
        <f aca="false">IF(OR(B44="",C44=""),"",ROUND((IF(C44&lt;1,INT(B44)+C44,C44)-B44)*1440,0)/1440)</f>
        <v>0.202777777777778</v>
      </c>
      <c r="E44" s="39" t="str">
        <f aca="false">IF(D44="","",IF(D44&lt;0,"打日期",IF(D44*1440&lt;=120,"J+2",IF(D44*1440&lt;=240,"J+4",IF(D44*1440&lt;=360,"J+6",IF(D44*1440&lt;=480,"J+8","8以上"))))))</f>
        <v>J+6</v>
      </c>
    </row>
    <row r="45" customFormat="false" ht="30" hidden="false" customHeight="true" outlineLevel="0" collapsed="false">
      <c r="A45" s="35"/>
      <c r="B45" s="36"/>
      <c r="C45" s="37"/>
      <c r="D45" s="38" t="str">
        <f aca="false">IF(OR(B45="",C45=""),"",ROUND((IF(C45&lt;1,INT(B45)+C45,C45)-B45)*1440,0)/1440)</f>
        <v/>
      </c>
      <c r="E45" s="39" t="str">
        <f aca="false">IF(D45="","",IF(D45&lt;0,"打日期",IF(D45*1440&lt;=120,"J+2",IF(D45*1440&lt;=240,"J+4",IF(D45*1440&lt;=360,"J+6",IF(D45*1440&lt;=480,"J+8","8以上"))))))</f>
        <v/>
      </c>
    </row>
    <row r="46" customFormat="false" ht="30" hidden="false" customHeight="true" outlineLevel="0" collapsed="false">
      <c r="A46" s="35"/>
      <c r="B46" s="36"/>
      <c r="C46" s="37"/>
      <c r="D46" s="38" t="str">
        <f aca="false">IF(OR(B46="",C46=""),"",ROUND((IF(C46&lt;1,INT(B46)+C46,C46)-B46)*1440,0)/1440)</f>
        <v/>
      </c>
      <c r="E46" s="39" t="str">
        <f aca="false">IF(D46="","",IF(D46&lt;0,"打日期",IF(D46*1440&lt;=120,"J+2",IF(D46*1440&lt;=240,"J+4",IF(D46*1440&lt;=360,"J+6",IF(D46*1440&lt;=480,"J+8","8以上"))))))</f>
        <v/>
      </c>
    </row>
    <row r="47" customFormat="false" ht="30" hidden="false" customHeight="true" outlineLevel="0" collapsed="false">
      <c r="A47" s="35"/>
      <c r="B47" s="36"/>
      <c r="C47" s="37"/>
      <c r="D47" s="38" t="str">
        <f aca="false">IF(OR(B47="",C47=""),"",ROUND((IF(C47&lt;1,INT(B47)+C47,C47)-B47)*1440,0)/1440)</f>
        <v/>
      </c>
      <c r="E47" s="39" t="str">
        <f aca="false">IF(D47="","",IF(D47&lt;0,"打日期",IF(D47*1440&lt;=120,"J+2",IF(D47*1440&lt;=240,"J+4",IF(D47*1440&lt;=360,"J+6",IF(D47*1440&lt;=480,"J+8","8以上"))))))</f>
        <v/>
      </c>
    </row>
    <row r="48" customFormat="false" ht="30" hidden="false" customHeight="true" outlineLevel="0" collapsed="false">
      <c r="A48" s="35"/>
      <c r="B48" s="36"/>
      <c r="C48" s="37"/>
      <c r="D48" s="38" t="str">
        <f aca="false">IF(OR(B48="",C48=""),"",ROUND((IF(C48&lt;1,INT(B48)+C48,C48)-B48)*1440,0)/1440)</f>
        <v/>
      </c>
      <c r="E48" s="39" t="str">
        <f aca="false">IF(D48="","",IF(D48&lt;0,"打日期",IF(D48*1440&lt;=120,"J+2",IF(D48*1440&lt;=240,"J+4",IF(D48*1440&lt;=360,"J+6",IF(D48*1440&lt;=480,"J+8","8以上"))))))</f>
        <v/>
      </c>
    </row>
    <row r="49" customFormat="false" ht="30" hidden="false" customHeight="true" outlineLevel="0" collapsed="false">
      <c r="A49" s="35"/>
      <c r="B49" s="36"/>
      <c r="C49" s="37"/>
      <c r="D49" s="38" t="str">
        <f aca="false">IF(OR(B49="",C49=""),"",ROUND((IF(C49&lt;1,INT(B49)+C49,C49)-B49)*1440,0)/1440)</f>
        <v/>
      </c>
      <c r="E49" s="39" t="str">
        <f aca="false">IF(D49="","",IF(D49&lt;0,"打日期",IF(D49*1440&lt;=120,"J+2",IF(D49*1440&lt;=240,"J+4",IF(D49*1440&lt;=360,"J+6",IF(D49*1440&lt;=480,"J+8","8以上"))))))</f>
        <v/>
      </c>
    </row>
    <row r="50" customFormat="false" ht="30" hidden="false" customHeight="true" outlineLevel="0" collapsed="false">
      <c r="A50" s="35"/>
      <c r="B50" s="36"/>
      <c r="C50" s="37"/>
      <c r="D50" s="38" t="str">
        <f aca="false">IF(OR(B50="",C50=""),"",ROUND((IF(C50&lt;1,INT(B50)+C50,C50)-B50)*1440,0)/1440)</f>
        <v/>
      </c>
      <c r="E50" s="39" t="str">
        <f aca="false">IF(D50="","",IF(D50&lt;0,"打日期",IF(D50*1440&lt;=120,"J+2",IF(D50*1440&lt;=240,"J+4",IF(D50*1440&lt;=360,"J+6",IF(D50*1440&lt;=480,"J+8","8以上"))))))</f>
        <v/>
      </c>
    </row>
    <row r="51" customFormat="false" ht="30" hidden="false" customHeight="true" outlineLevel="0" collapsed="false">
      <c r="A51" s="35"/>
      <c r="B51" s="36"/>
      <c r="C51" s="37"/>
      <c r="D51" s="38" t="str">
        <f aca="false">IF(OR(B51="",C51=""),"",ROUND((IF(C51&lt;1,INT(B51)+C51,C51)-B51)*1440,0)/1440)</f>
        <v/>
      </c>
      <c r="E51" s="39" t="str">
        <f aca="false">IF(D51="","",IF(D51&lt;0,"打日期",IF(D51*1440&lt;=120,"J+2",IF(D51*1440&lt;=240,"J+4",IF(D51*1440&lt;=360,"J+6",IF(D51*1440&lt;=480,"J+8","8以上"))))))</f>
        <v/>
      </c>
    </row>
    <row r="52" customFormat="false" ht="30" hidden="false" customHeight="true" outlineLevel="0" collapsed="false">
      <c r="A52" s="35"/>
      <c r="B52" s="36"/>
      <c r="C52" s="37"/>
      <c r="D52" s="38" t="str">
        <f aca="false">IF(OR(B52="",C52=""),"",ROUND((IF(C52&lt;1,INT(B52)+C52,C52)-B52)*1440,0)/1440)</f>
        <v/>
      </c>
      <c r="E52" s="39" t="str">
        <f aca="false">IF(D52="","",IF(D52&lt;0,"打日期",IF(D52*1440&lt;=120,"J+2",IF(D52*1440&lt;=240,"J+4",IF(D52*1440&lt;=360,"J+6",IF(D52*1440&lt;=480,"J+8","8以上"))))))</f>
        <v/>
      </c>
    </row>
    <row r="53" customFormat="false" ht="30" hidden="false" customHeight="true" outlineLevel="0" collapsed="false">
      <c r="A53" s="35"/>
      <c r="B53" s="36"/>
      <c r="C53" s="37"/>
      <c r="D53" s="38" t="str">
        <f aca="false">IF(OR(B53="",C53=""),"",ROUND((IF(C53&lt;1,INT(B53)+C53,C53)-B53)*1440,0)/1440)</f>
        <v/>
      </c>
      <c r="E53" s="39" t="str">
        <f aca="false">IF(D53="","",IF(D53&lt;0,"打日期",IF(D53*1440&lt;=120,"J+2",IF(D53*1440&lt;=240,"J+4",IF(D53*1440&lt;=360,"J+6",IF(D53*1440&lt;=480,"J+8","8以上"))))))</f>
        <v/>
      </c>
    </row>
    <row r="54" customFormat="false" ht="30" hidden="false" customHeight="true" outlineLevel="0" collapsed="false">
      <c r="A54" s="35"/>
      <c r="B54" s="36"/>
      <c r="C54" s="37"/>
      <c r="D54" s="38" t="str">
        <f aca="false">IF(OR(B54="",C54=""),"",ROUND((IF(C54&lt;1,INT(B54)+C54,C54)-B54)*1440,0)/1440)</f>
        <v/>
      </c>
      <c r="E54" s="39" t="str">
        <f aca="false">IF(D54="","",IF(D54&lt;0,"打日期",IF(D54*1440&lt;=120,"J+2",IF(D54*1440&lt;=240,"J+4",IF(D54*1440&lt;=360,"J+6",IF(D54*1440&lt;=480,"J+8","8以上"))))))</f>
        <v/>
      </c>
    </row>
    <row r="55" customFormat="false" ht="30" hidden="false" customHeight="true" outlineLevel="0" collapsed="false">
      <c r="A55" s="35"/>
      <c r="B55" s="36"/>
      <c r="C55" s="37"/>
      <c r="D55" s="38" t="str">
        <f aca="false">IF(OR(B55="",C55=""),"",ROUND((IF(C55&lt;1,INT(B55)+C55,C55)-B55)*1440,0)/1440)</f>
        <v/>
      </c>
      <c r="E55" s="39" t="str">
        <f aca="false">IF(D55="","",IF(D55&lt;0,"打日期",IF(D55*1440&lt;=120,"J+2",IF(D55*1440&lt;=240,"J+4",IF(D55*1440&lt;=360,"J+6",IF(D55*1440&lt;=480,"J+8","8以上"))))))</f>
        <v/>
      </c>
    </row>
    <row r="56" customFormat="false" ht="30" hidden="false" customHeight="true" outlineLevel="0" collapsed="false">
      <c r="A56" s="35"/>
      <c r="B56" s="36"/>
      <c r="C56" s="37"/>
      <c r="D56" s="38" t="str">
        <f aca="false">IF(OR(B56="",C56=""),"",ROUND((IF(C56&lt;1,INT(B56)+C56,C56)-B56)*1440,0)/1440)</f>
        <v/>
      </c>
      <c r="E56" s="39" t="str">
        <f aca="false">IF(D56="","",IF(D56&lt;0,"打日期",IF(D56*1440&lt;=120,"J+2",IF(D56*1440&lt;=240,"J+4",IF(D56*1440&lt;=360,"J+6",IF(D56*1440&lt;=480,"J+8","8以上"))))))</f>
        <v/>
      </c>
    </row>
    <row r="57" customFormat="false" ht="30" hidden="false" customHeight="true" outlineLevel="0" collapsed="false">
      <c r="A57" s="35"/>
      <c r="B57" s="36"/>
      <c r="C57" s="37"/>
      <c r="D57" s="38" t="str">
        <f aca="false">IF(OR(B57="",C57=""),"",ROUND((IF(C57&lt;1,INT(B57)+C57,C57)-B57)*1440,0)/1440)</f>
        <v/>
      </c>
      <c r="E57" s="39" t="str">
        <f aca="false">IF(D57="","",IF(D57&lt;0,"打日期",IF(D57*1440&lt;=120,"J+2",IF(D57*1440&lt;=240,"J+4",IF(D57*1440&lt;=360,"J+6",IF(D57*1440&lt;=480,"J+8","8以上"))))))</f>
        <v/>
      </c>
    </row>
    <row r="58" customFormat="false" ht="75" hidden="false" customHeight="true" outlineLevel="0" collapsed="false">
      <c r="A58" s="40" t="s">
        <v>37</v>
      </c>
      <c r="B58" s="40"/>
      <c r="C58" s="40"/>
      <c r="D58" s="40"/>
      <c r="E58" s="40"/>
    </row>
    <row r="60" customFormat="false" ht="21" hidden="false" customHeight="true" outlineLevel="0" collapsed="false">
      <c r="A60" s="41" t="s">
        <v>35</v>
      </c>
      <c r="C60" s="41" t="s">
        <v>28</v>
      </c>
    </row>
    <row r="61" customFormat="false" ht="39.75" hidden="false" customHeight="true" outlineLevel="0" collapsed="false">
      <c r="A61" s="33" t="str">
        <f aca="false">"中和郵務股"&amp;'10'!$G$2&amp;'10'!$H$2&amp;"份 轉口 快捷郵遞時效表"</f>
        <v>中和郵務股115年10月份 轉口 快捷郵遞時效表</v>
      </c>
      <c r="B61" s="33"/>
      <c r="C61" s="33"/>
      <c r="D61" s="33"/>
      <c r="E61" s="33"/>
    </row>
    <row r="62" customFormat="false" ht="30" hidden="false" customHeight="true" outlineLevel="0" collapsed="false">
      <c r="A62" s="34" t="s">
        <v>29</v>
      </c>
      <c r="B62" s="34" t="s">
        <v>30</v>
      </c>
      <c r="C62" s="34" t="s">
        <v>31</v>
      </c>
      <c r="D62" s="34" t="s">
        <v>32</v>
      </c>
      <c r="E62" s="34" t="s">
        <v>33</v>
      </c>
    </row>
    <row r="63" customFormat="false" ht="30" hidden="false" customHeight="true" outlineLevel="0" collapsed="false">
      <c r="A63" s="35" t="s">
        <v>105</v>
      </c>
      <c r="B63" s="36" t="n">
        <v>46300.3569444444</v>
      </c>
      <c r="C63" s="37" t="n">
        <v>0.677083333333333</v>
      </c>
      <c r="D63" s="38" t="n">
        <f aca="false">IF(OR(B63="",C63=""),"",ROUND((IF(C63&lt;1,INT(B63)+C63,C63)-B63)*1440,0)/1440)</f>
        <v>0.320138888888889</v>
      </c>
      <c r="E63" s="39" t="str">
        <f aca="false">IF(D63="","",IF(D63&lt;0,"打日期",IF(D63*1440&lt;=120,"J+2",IF(D63*1440&lt;=240,"J+4",IF(D63*1440&lt;=360,"J+6",IF(D63*1440&lt;=480,"J+8","8以上"))))))</f>
        <v>J+8</v>
      </c>
    </row>
    <row r="64" customFormat="false" ht="30" hidden="false" customHeight="true" outlineLevel="0" collapsed="false">
      <c r="A64" s="35" t="s">
        <v>106</v>
      </c>
      <c r="B64" s="36" t="n">
        <v>46300.3743055556</v>
      </c>
      <c r="C64" s="37" t="n">
        <v>0.676388888888889</v>
      </c>
      <c r="D64" s="38" t="n">
        <f aca="false">IF(OR(B64="",C64=""),"",ROUND((IF(C64&lt;1,INT(B64)+C64,C64)-B64)*1440,0)/1440)</f>
        <v>0.302083333333333</v>
      </c>
      <c r="E64" s="39" t="str">
        <f aca="false">IF(D64="","",IF(D64&lt;0,"打日期",IF(D64*1440&lt;=120,"J+2",IF(D64*1440&lt;=240,"J+4",IF(D64*1440&lt;=360,"J+6",IF(D64*1440&lt;=480,"J+8","8以上"))))))</f>
        <v>J+8</v>
      </c>
    </row>
    <row r="65" customFormat="false" ht="30" hidden="false" customHeight="true" outlineLevel="0" collapsed="false">
      <c r="A65" s="35" t="s">
        <v>107</v>
      </c>
      <c r="B65" s="36" t="n">
        <v>46300.3958333333</v>
      </c>
      <c r="C65" s="37" t="n">
        <v>0.676388888888889</v>
      </c>
      <c r="D65" s="38" t="n">
        <f aca="false">IF(OR(B65="",C65=""),"",ROUND((IF(C65&lt;1,INT(B65)+C65,C65)-B65)*1440,0)/1440)</f>
        <v>0.280555555555556</v>
      </c>
      <c r="E65" s="39" t="str">
        <f aca="false">IF(D65="","",IF(D65&lt;0,"打日期",IF(D65*1440&lt;=120,"J+2",IF(D65*1440&lt;=240,"J+4",IF(D65*1440&lt;=360,"J+6",IF(D65*1440&lt;=480,"J+8","8以上"))))))</f>
        <v>J+8</v>
      </c>
    </row>
    <row r="66" customFormat="false" ht="30" hidden="false" customHeight="true" outlineLevel="0" collapsed="false">
      <c r="A66" s="35" t="s">
        <v>108</v>
      </c>
      <c r="B66" s="36" t="n">
        <v>46300.3972222222</v>
      </c>
      <c r="C66" s="37" t="n">
        <v>0.675694444444445</v>
      </c>
      <c r="D66" s="38" t="n">
        <f aca="false">IF(OR(B66="",C66=""),"",ROUND((IF(C66&lt;1,INT(B66)+C66,C66)-B66)*1440,0)/1440)</f>
        <v>0.278472222222222</v>
      </c>
      <c r="E66" s="39" t="str">
        <f aca="false">IF(D66="","",IF(D66&lt;0,"打日期",IF(D66*1440&lt;=120,"J+2",IF(D66*1440&lt;=240,"J+4",IF(D66*1440&lt;=360,"J+6",IF(D66*1440&lt;=480,"J+8","8以上"))))))</f>
        <v>J+8</v>
      </c>
    </row>
    <row r="67" customFormat="false" ht="30" hidden="false" customHeight="true" outlineLevel="0" collapsed="false">
      <c r="A67" s="35" t="s">
        <v>109</v>
      </c>
      <c r="B67" s="36" t="n">
        <v>46300.4173611111</v>
      </c>
      <c r="C67" s="37" t="n">
        <v>0.675694444444445</v>
      </c>
      <c r="D67" s="38" t="n">
        <f aca="false">IF(OR(B67="",C67=""),"",ROUND((IF(C67&lt;1,INT(B67)+C67,C67)-B67)*1440,0)/1440)</f>
        <v>0.258333333333333</v>
      </c>
      <c r="E67" s="39" t="str">
        <f aca="false">IF(D67="","",IF(D67&lt;0,"打日期",IF(D67*1440&lt;=120,"J+2",IF(D67*1440&lt;=240,"J+4",IF(D67*1440&lt;=360,"J+6",IF(D67*1440&lt;=480,"J+8","8以上"))))))</f>
        <v>J+8</v>
      </c>
    </row>
    <row r="68" customFormat="false" ht="30" hidden="false" customHeight="true" outlineLevel="0" collapsed="false">
      <c r="A68" s="35" t="s">
        <v>110</v>
      </c>
      <c r="B68" s="36" t="n">
        <v>46300.4173611111</v>
      </c>
      <c r="C68" s="37" t="n">
        <v>0.677083333333333</v>
      </c>
      <c r="D68" s="38" t="n">
        <f aca="false">IF(OR(B68="",C68=""),"",ROUND((IF(C68&lt;1,INT(B68)+C68,C68)-B68)*1440,0)/1440)</f>
        <v>0.259722222222222</v>
      </c>
      <c r="E68" s="39" t="str">
        <f aca="false">IF(D68="","",IF(D68&lt;0,"打日期",IF(D68*1440&lt;=120,"J+2",IF(D68*1440&lt;=240,"J+4",IF(D68*1440&lt;=360,"J+6",IF(D68*1440&lt;=480,"J+8","8以上"))))))</f>
        <v>J+8</v>
      </c>
    </row>
    <row r="69" customFormat="false" ht="30" hidden="false" customHeight="true" outlineLevel="0" collapsed="false">
      <c r="A69" s="35" t="s">
        <v>111</v>
      </c>
      <c r="B69" s="36" t="n">
        <v>46300.4368055556</v>
      </c>
      <c r="C69" s="37" t="n">
        <v>0.676388888888889</v>
      </c>
      <c r="D69" s="38" t="n">
        <f aca="false">IF(OR(B69="",C69=""),"",ROUND((IF(C69&lt;1,INT(B69)+C69,C69)-B69)*1440,0)/1440)</f>
        <v>0.239583333333333</v>
      </c>
      <c r="E69" s="39" t="str">
        <f aca="false">IF(D69="","",IF(D69&lt;0,"打日期",IF(D69*1440&lt;=120,"J+2",IF(D69*1440&lt;=240,"J+4",IF(D69*1440&lt;=360,"J+6",IF(D69*1440&lt;=480,"J+8","8以上"))))))</f>
        <v>J+6</v>
      </c>
    </row>
    <row r="70" customFormat="false" ht="30" hidden="false" customHeight="true" outlineLevel="0" collapsed="false">
      <c r="A70" s="35" t="s">
        <v>112</v>
      </c>
      <c r="B70" s="36" t="n">
        <v>46300.4479166667</v>
      </c>
      <c r="C70" s="37" t="n">
        <v>0.677083333333333</v>
      </c>
      <c r="D70" s="38" t="n">
        <f aca="false">IF(OR(B70="",C70=""),"",ROUND((IF(C70&lt;1,INT(B70)+C70,C70)-B70)*1440,0)/1440)</f>
        <v>0.229166666666667</v>
      </c>
      <c r="E70" s="39" t="str">
        <f aca="false">IF(D70="","",IF(D70&lt;0,"打日期",IF(D70*1440&lt;=120,"J+2",IF(D70*1440&lt;=240,"J+4",IF(D70*1440&lt;=360,"J+6",IF(D70*1440&lt;=480,"J+8","8以上"))))))</f>
        <v>J+6</v>
      </c>
    </row>
    <row r="71" customFormat="false" ht="30" hidden="false" customHeight="true" outlineLevel="0" collapsed="false">
      <c r="A71" s="35" t="s">
        <v>113</v>
      </c>
      <c r="B71" s="36" t="n">
        <v>46296.3618055556</v>
      </c>
      <c r="C71" s="37" t="n">
        <v>0.670833333333333</v>
      </c>
      <c r="D71" s="38" t="n">
        <f aca="false">IF(OR(B71="",C71=""),"",ROUND((IF(C71&lt;1,INT(B71)+C71,C71)-B71)*1440,0)/1440)</f>
        <v>0.309027777777778</v>
      </c>
      <c r="E71" s="39" t="str">
        <f aca="false">IF(D71="","",IF(D71&lt;0,"打日期",IF(D71*1440&lt;=120,"J+2",IF(D71*1440&lt;=240,"J+4",IF(D71*1440&lt;=360,"J+6",IF(D71*1440&lt;=480,"J+8","8以上"))))))</f>
        <v>J+8</v>
      </c>
    </row>
    <row r="72" customFormat="false" ht="30" hidden="false" customHeight="true" outlineLevel="0" collapsed="false">
      <c r="A72" s="35" t="s">
        <v>114</v>
      </c>
      <c r="B72" s="36" t="n">
        <v>46296.3708333333</v>
      </c>
      <c r="C72" s="37" t="n">
        <v>0.670138888888889</v>
      </c>
      <c r="D72" s="38" t="n">
        <f aca="false">IF(OR(B72="",C72=""),"",ROUND((IF(C72&lt;1,INT(B72)+C72,C72)-B72)*1440,0)/1440)</f>
        <v>0.299305555555556</v>
      </c>
      <c r="E72" s="39" t="str">
        <f aca="false">IF(D72="","",IF(D72&lt;0,"打日期",IF(D72*1440&lt;=120,"J+2",IF(D72*1440&lt;=240,"J+4",IF(D72*1440&lt;=360,"J+6",IF(D72*1440&lt;=480,"J+8","8以上"))))))</f>
        <v>J+8</v>
      </c>
    </row>
    <row r="73" customFormat="false" ht="30" hidden="false" customHeight="true" outlineLevel="0" collapsed="false">
      <c r="A73" s="35"/>
      <c r="B73" s="36"/>
      <c r="C73" s="37"/>
      <c r="D73" s="38" t="str">
        <f aca="false">IF(OR(B73="",C73=""),"",ROUND((IF(C73&lt;1,INT(B73)+C73,C73)-B73)*1440,0)/1440)</f>
        <v/>
      </c>
      <c r="E73" s="39" t="str">
        <f aca="false">IF(D73="","",IF(D73&lt;0,"打日期",IF(D73*1440&lt;=120,"J+2",IF(D73*1440&lt;=240,"J+4",IF(D73*1440&lt;=360,"J+6",IF(D73*1440&lt;=480,"J+8","8以上"))))))</f>
        <v/>
      </c>
    </row>
    <row r="74" customFormat="false" ht="30" hidden="false" customHeight="true" outlineLevel="0" collapsed="false">
      <c r="A74" s="35"/>
      <c r="B74" s="36"/>
      <c r="C74" s="37"/>
      <c r="D74" s="38" t="str">
        <f aca="false">IF(OR(B74="",C74=""),"",ROUND((IF(C74&lt;1,INT(B74)+C74,C74)-B74)*1440,0)/1440)</f>
        <v/>
      </c>
      <c r="E74" s="39" t="str">
        <f aca="false">IF(D74="","",IF(D74&lt;0,"打日期",IF(D74*1440&lt;=120,"J+2",IF(D74*1440&lt;=240,"J+4",IF(D74*1440&lt;=360,"J+6",IF(D74*1440&lt;=480,"J+8","8以上"))))))</f>
        <v/>
      </c>
    </row>
    <row r="75" customFormat="false" ht="30" hidden="false" customHeight="true" outlineLevel="0" collapsed="false">
      <c r="A75" s="35"/>
      <c r="B75" s="36"/>
      <c r="C75" s="37"/>
      <c r="D75" s="38" t="str">
        <f aca="false">IF(OR(B75="",C75=""),"",ROUND((IF(C75&lt;1,INT(B75)+C75,C75)-B75)*1440,0)/1440)</f>
        <v/>
      </c>
      <c r="E75" s="39" t="str">
        <f aca="false">IF(D75="","",IF(D75&lt;0,"打日期",IF(D75*1440&lt;=120,"J+2",IF(D75*1440&lt;=240,"J+4",IF(D75*1440&lt;=360,"J+6",IF(D75*1440&lt;=480,"J+8","8以上"))))))</f>
        <v/>
      </c>
    </row>
    <row r="76" customFormat="false" ht="30" hidden="false" customHeight="true" outlineLevel="0" collapsed="false">
      <c r="A76" s="35"/>
      <c r="B76" s="36"/>
      <c r="C76" s="37"/>
      <c r="D76" s="38" t="str">
        <f aca="false">IF(OR(B76="",C76=""),"",ROUND((IF(C76&lt;1,INT(B76)+C76,C76)-B76)*1440,0)/1440)</f>
        <v/>
      </c>
      <c r="E76" s="39" t="str">
        <f aca="false">IF(D76="","",IF(D76&lt;0,"打日期",IF(D76*1440&lt;=120,"J+2",IF(D76*1440&lt;=240,"J+4",IF(D76*1440&lt;=360,"J+6",IF(D76*1440&lt;=480,"J+8","8以上"))))))</f>
        <v/>
      </c>
    </row>
    <row r="77" customFormat="false" ht="30" hidden="false" customHeight="true" outlineLevel="0" collapsed="false">
      <c r="A77" s="35"/>
      <c r="B77" s="36"/>
      <c r="C77" s="37"/>
      <c r="D77" s="38" t="str">
        <f aca="false">IF(OR(B77="",C77=""),"",ROUND((IF(C77&lt;1,INT(B77)+C77,C77)-B77)*1440,0)/1440)</f>
        <v/>
      </c>
      <c r="E77" s="39" t="str">
        <f aca="false">IF(D77="","",IF(D77&lt;0,"打日期",IF(D77*1440&lt;=120,"J+2",IF(D77*1440&lt;=240,"J+4",IF(D77*1440&lt;=360,"J+6",IF(D77*1440&lt;=480,"J+8","8以上"))))))</f>
        <v/>
      </c>
    </row>
    <row r="78" customFormat="false" ht="75" hidden="false" customHeight="true" outlineLevel="0" collapsed="false">
      <c r="A78" s="40" t="s">
        <v>38</v>
      </c>
      <c r="B78" s="40"/>
      <c r="C78" s="40"/>
      <c r="D78" s="40"/>
      <c r="E78" s="40"/>
    </row>
    <row r="80" customFormat="false" ht="21" hidden="false" customHeight="true" outlineLevel="0" collapsed="false">
      <c r="A80" s="41" t="s">
        <v>35</v>
      </c>
      <c r="C80" s="41" t="s">
        <v>28</v>
      </c>
    </row>
  </sheetData>
  <mergeCells count="8">
    <mergeCell ref="A1:E1"/>
    <mergeCell ref="A18:E18"/>
    <mergeCell ref="A21:E21"/>
    <mergeCell ref="A38:E38"/>
    <mergeCell ref="A41:E41"/>
    <mergeCell ref="A58:E58"/>
    <mergeCell ref="A61:E61"/>
    <mergeCell ref="A78:E78"/>
  </mergeCells>
  <printOptions headings="false" gridLines="false" gridLinesSet="true" horizontalCentered="true" verticalCentered="false"/>
  <pageMargins left="0.5" right="0.5" top="0.5" bottom="0.5" header="0.511811023622047" footer="0.511811023622047"/>
  <pageSetup paperSize="9" scale="9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3" manualBreakCount="3">
    <brk id="20" man="true" max="16383" min="0"/>
    <brk id="40" man="true" max="16383" min="0"/>
    <brk id="60" man="true" max="16383" min="0"/>
  </rowBreak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true"/>
  </sheetPr>
  <dimension ref="A1:O1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H7" activeCellId="0" sqref="H7"/>
    </sheetView>
  </sheetViews>
  <sheetFormatPr defaultColWidth="8.87890625" defaultRowHeight="16.5" zeroHeight="false" outlineLevelRow="0" outlineLevelCol="0"/>
  <cols>
    <col collapsed="false" customWidth="true" hidden="false" outlineLevel="0" max="1" min="1" style="1" width="2.75"/>
    <col collapsed="false" customWidth="true" hidden="false" outlineLevel="0" max="2" min="2" style="1" width="21.5"/>
    <col collapsed="false" customWidth="true" hidden="false" outlineLevel="0" max="15" min="3" style="1" width="11"/>
    <col collapsed="false" customWidth="false" hidden="false" outlineLevel="0" max="16384" min="16" style="1" width="8.88"/>
  </cols>
  <sheetData>
    <row r="1" customFormat="false" ht="43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43.5" hidden="false" customHeight="true" outlineLevel="0" collapsed="false">
      <c r="A2" s="3"/>
      <c r="F2" s="4"/>
      <c r="G2" s="5" t="str">
        <f aca="false">'01'!G2</f>
        <v>115年</v>
      </c>
      <c r="H2" s="6" t="s">
        <v>115</v>
      </c>
      <c r="I2" s="4"/>
    </row>
    <row r="3" customFormat="false" ht="48.75" hidden="false" customHeight="true" outlineLevel="0" collapsed="false">
      <c r="A3" s="7" t="s">
        <v>3</v>
      </c>
      <c r="B3" s="7"/>
      <c r="C3" s="8" t="s">
        <v>4</v>
      </c>
      <c r="D3" s="9" t="s">
        <v>5</v>
      </c>
      <c r="E3" s="10" t="s">
        <v>6</v>
      </c>
      <c r="F3" s="9" t="s">
        <v>7</v>
      </c>
      <c r="G3" s="10" t="s">
        <v>8</v>
      </c>
      <c r="H3" s="9" t="s">
        <v>9</v>
      </c>
      <c r="I3" s="10" t="s">
        <v>10</v>
      </c>
      <c r="J3" s="9" t="s">
        <v>11</v>
      </c>
      <c r="K3" s="10" t="s">
        <v>12</v>
      </c>
      <c r="L3" s="9" t="s">
        <v>13</v>
      </c>
      <c r="M3" s="10" t="s">
        <v>14</v>
      </c>
      <c r="N3" s="11" t="s">
        <v>15</v>
      </c>
      <c r="O3" s="8" t="s">
        <v>16</v>
      </c>
    </row>
    <row r="4" customFormat="false" ht="50.25" hidden="false" customHeight="true" outlineLevel="0" collapsed="false">
      <c r="A4" s="12" t="s">
        <v>17</v>
      </c>
      <c r="B4" s="12"/>
      <c r="C4" s="13" t="n">
        <f aca="false">D4+F4+H4+J4+L4</f>
        <v>0</v>
      </c>
      <c r="D4" s="14" t="n">
        <f aca="false">COUNTIF(11子本!$E$3:$E$17,"J+2")</f>
        <v>0</v>
      </c>
      <c r="E4" s="15" t="str">
        <f aca="false">IF($C4=0,"",D4/$C4)</f>
        <v/>
      </c>
      <c r="F4" s="14" t="n">
        <f aca="false">COUNTIF(11子本!$E$3:$E$17,"J+4")</f>
        <v>0</v>
      </c>
      <c r="G4" s="15" t="str">
        <f aca="false">IF($C4=0,"",F4/$C4)</f>
        <v/>
      </c>
      <c r="H4" s="14" t="n">
        <f aca="false">COUNTIF(11子本!$E$3:$E$17,"J+6")</f>
        <v>0</v>
      </c>
      <c r="I4" s="15" t="str">
        <f aca="false">IF($C4=0,"",H4/$C4)</f>
        <v/>
      </c>
      <c r="J4" s="14" t="n">
        <f aca="false">COUNTIF(11子本!$E$3:$E$17,"J+8")</f>
        <v>0</v>
      </c>
      <c r="K4" s="15" t="str">
        <f aca="false">IF($C4=0,"",J4/$C4)</f>
        <v/>
      </c>
      <c r="L4" s="14" t="n">
        <f aca="false">COUNTIF(11子本!$E$3:$E$17,"8以上")</f>
        <v>0</v>
      </c>
      <c r="M4" s="15" t="str">
        <f aca="false">IF($C4=0,"",L4/$C4)</f>
        <v/>
      </c>
      <c r="N4" s="16" t="n">
        <v>1</v>
      </c>
      <c r="O4" s="17" t="str">
        <f aca="false">IF($C4=0,"",(D4*2+F4*4+H4*6+J4*8+L4*8)/$C4)</f>
        <v/>
      </c>
    </row>
    <row r="5" customFormat="false" ht="50.25" hidden="false" customHeight="true" outlineLevel="0" collapsed="false">
      <c r="A5" s="12" t="s">
        <v>18</v>
      </c>
      <c r="B5" s="12"/>
      <c r="C5" s="13" t="n">
        <f aca="false">D5+F5+H5+J5+L5</f>
        <v>0</v>
      </c>
      <c r="D5" s="14" t="n">
        <f aca="false">COUNTIF(11子本!$E$23:$E$37,"J+2")</f>
        <v>0</v>
      </c>
      <c r="E5" s="15" t="str">
        <f aca="false">IF($C5=0,"",D5/$C5)</f>
        <v/>
      </c>
      <c r="F5" s="14" t="n">
        <f aca="false">COUNTIF(11子本!$E$23:$E$37,"J+4")</f>
        <v>0</v>
      </c>
      <c r="G5" s="15" t="str">
        <f aca="false">IF($C5=0,"",F5/$C5)</f>
        <v/>
      </c>
      <c r="H5" s="14" t="n">
        <f aca="false">COUNTIF(11子本!$E$23:$E$37,"J+6")</f>
        <v>0</v>
      </c>
      <c r="I5" s="15" t="str">
        <f aca="false">IF($C5=0,"",H5/$C5)</f>
        <v/>
      </c>
      <c r="J5" s="14" t="n">
        <f aca="false">COUNTIF(11子本!$E$23:$E$37,"J+8")</f>
        <v>0</v>
      </c>
      <c r="K5" s="15" t="str">
        <f aca="false">IF($C5=0,"",J5/$C5)</f>
        <v/>
      </c>
      <c r="L5" s="14" t="n">
        <f aca="false">COUNTIF(11子本!$E$23:$E$37,"8以上")</f>
        <v>0</v>
      </c>
      <c r="M5" s="15" t="str">
        <f aca="false">IF($C5=0,"",L5/$C5)</f>
        <v/>
      </c>
      <c r="N5" s="16" t="n">
        <v>1</v>
      </c>
      <c r="O5" s="17" t="str">
        <f aca="false">IF($C5=0,"",(D5*2+F5*4+H5*6+J5*8+L5*8)/$C5)</f>
        <v/>
      </c>
    </row>
    <row r="6" customFormat="false" ht="54.75" hidden="false" customHeight="true" outlineLevel="0" collapsed="false">
      <c r="A6" s="18" t="s">
        <v>19</v>
      </c>
      <c r="B6" s="18"/>
      <c r="C6" s="13" t="n">
        <f aca="false">D6+F6+H6+J6+L6</f>
        <v>0</v>
      </c>
      <c r="D6" s="14" t="n">
        <f aca="false">COUNTIF(11子本!$E$43:$E$57,"J+2")</f>
        <v>0</v>
      </c>
      <c r="E6" s="15" t="str">
        <f aca="false">IF($C6=0,"",D6/$C6)</f>
        <v/>
      </c>
      <c r="F6" s="14" t="n">
        <f aca="false">COUNTIF(11子本!$E$43:$E$57,"J+4")</f>
        <v>0</v>
      </c>
      <c r="G6" s="15" t="str">
        <f aca="false">IF($C6=0,"",F6/$C6)</f>
        <v/>
      </c>
      <c r="H6" s="14" t="n">
        <f aca="false">COUNTIF(11子本!$E$43:$E$57,"J+6")</f>
        <v>0</v>
      </c>
      <c r="I6" s="15" t="str">
        <f aca="false">IF($C6=0,"",H6/$C6)</f>
        <v/>
      </c>
      <c r="J6" s="14" t="n">
        <f aca="false">COUNTIF(11子本!$E$43:$E$57,"J+8")</f>
        <v>0</v>
      </c>
      <c r="K6" s="15" t="str">
        <f aca="false">IF($C6=0,"",J6/$C6)</f>
        <v/>
      </c>
      <c r="L6" s="14" t="n">
        <f aca="false">COUNTIF(11子本!$E$43:$E$57,"8以上")</f>
        <v>0</v>
      </c>
      <c r="M6" s="15" t="str">
        <f aca="false">IF($C6=0,"",L6/$C6)</f>
        <v/>
      </c>
      <c r="N6" s="16" t="n">
        <v>1</v>
      </c>
      <c r="O6" s="17" t="str">
        <f aca="false">IF($C6=0,"",(D6*2+F6*4+H6*6+J6*8+L6*8)/$C6)</f>
        <v/>
      </c>
    </row>
    <row r="7" customFormat="false" ht="50.25" hidden="false" customHeight="true" outlineLevel="0" collapsed="false">
      <c r="A7" s="19" t="s">
        <v>20</v>
      </c>
      <c r="B7" s="19"/>
      <c r="C7" s="13" t="n">
        <f aca="false">D7+F7+H7+J7+L7</f>
        <v>0</v>
      </c>
      <c r="D7" s="14" t="n">
        <f aca="false">COUNTIF(11子本!$E$63:$E$77,"J+2")</f>
        <v>0</v>
      </c>
      <c r="E7" s="15" t="str">
        <f aca="false">IF($C7=0,"",D7/$C7)</f>
        <v/>
      </c>
      <c r="F7" s="14" t="n">
        <f aca="false">COUNTIF(11子本!$E$63:$E$77,"J+4")</f>
        <v>0</v>
      </c>
      <c r="G7" s="15" t="str">
        <f aca="false">IF($C7=0,"",F7/$C7)</f>
        <v/>
      </c>
      <c r="H7" s="14" t="n">
        <f aca="false">COUNTIF(11子本!$E$63:$E$77,"J+6")</f>
        <v>0</v>
      </c>
      <c r="I7" s="15" t="str">
        <f aca="false">IF($C7=0,"",H7/$C7)</f>
        <v/>
      </c>
      <c r="J7" s="14" t="n">
        <f aca="false">COUNTIF(11子本!$E$63:$E$77,"J+8")</f>
        <v>0</v>
      </c>
      <c r="K7" s="15" t="str">
        <f aca="false">IF($C7=0,"",J7/$C7)</f>
        <v/>
      </c>
      <c r="L7" s="14" t="n">
        <f aca="false">COUNTIF(11子本!$E$63:$E$77,"8以上")</f>
        <v>0</v>
      </c>
      <c r="M7" s="15" t="str">
        <f aca="false">IF($C7=0,"",L7/$C7)</f>
        <v/>
      </c>
      <c r="N7" s="20" t="n">
        <v>1</v>
      </c>
      <c r="O7" s="17" t="str">
        <f aca="false">IF($C7=0,"",(D7*2+F7*4+H7*6+J7*8+L7*8)/$C7)</f>
        <v/>
      </c>
    </row>
    <row r="8" customFormat="false" ht="21" hidden="false" customHeight="true" outlineLevel="0" collapsed="false">
      <c r="A8" s="21" t="s">
        <v>21</v>
      </c>
      <c r="B8" s="21"/>
      <c r="C8" s="22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</row>
    <row r="9" customFormat="false" ht="60.75" hidden="false" customHeight="true" outlineLevel="0" collapsed="false">
      <c r="A9" s="24" t="n">
        <v>1</v>
      </c>
      <c r="B9" s="25" t="s">
        <v>22</v>
      </c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</row>
    <row r="10" customFormat="false" ht="21" hidden="false" customHeight="true" outlineLevel="0" collapsed="false">
      <c r="A10" s="24" t="n">
        <v>2</v>
      </c>
      <c r="B10" s="26" t="s">
        <v>23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</row>
    <row r="11" customFormat="false" ht="39" hidden="false" customHeight="true" outlineLevel="0" collapsed="false">
      <c r="A11" s="24" t="n">
        <v>3</v>
      </c>
      <c r="B11" s="25" t="s">
        <v>24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customFormat="false" ht="39.75" hidden="false" customHeight="true" outlineLevel="0" collapsed="false">
      <c r="A12" s="24" t="n">
        <v>4</v>
      </c>
      <c r="B12" s="25" t="s">
        <v>25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</row>
    <row r="13" customFormat="false" ht="40.5" hidden="false" customHeight="true" outlineLevel="0" collapsed="false">
      <c r="A13" s="24" t="n">
        <v>5</v>
      </c>
      <c r="B13" s="25" t="s">
        <v>26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</row>
    <row r="14" customFormat="false" ht="21" hidden="false" customHeight="true" outlineLevel="0" collapsed="false">
      <c r="B14" s="27" t="s">
        <v>27</v>
      </c>
      <c r="C14" s="27"/>
      <c r="D14" s="28"/>
      <c r="E14" s="28"/>
      <c r="F14" s="29" t="s">
        <v>28</v>
      </c>
      <c r="G14" s="29"/>
      <c r="H14" s="30"/>
      <c r="I14" s="30"/>
      <c r="J14" s="31"/>
      <c r="K14" s="31"/>
      <c r="O14" s="28"/>
    </row>
  </sheetData>
  <mergeCells count="12">
    <mergeCell ref="A1:M1"/>
    <mergeCell ref="A3:B3"/>
    <mergeCell ref="A4:B4"/>
    <mergeCell ref="A5:B5"/>
    <mergeCell ref="A6:B6"/>
    <mergeCell ref="A7:B7"/>
    <mergeCell ref="A8:B8"/>
    <mergeCell ref="B9:O9"/>
    <mergeCell ref="B10:O10"/>
    <mergeCell ref="B11:O11"/>
    <mergeCell ref="B12:O12"/>
    <mergeCell ref="B13:O13"/>
  </mergeCells>
  <printOptions headings="false" gridLines="false" gridLinesSet="true" horizontalCentered="true" verticalCentered="true"/>
  <pageMargins left="0.157638888888889" right="0.551388888888889" top="0.196527777777778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E5CC"/>
    <pageSetUpPr fitToPage="false"/>
  </sheetPr>
  <dimension ref="A1:E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" defaultRowHeight="21" zeroHeight="false" outlineLevelRow="0" outlineLevelCol="0"/>
  <cols>
    <col collapsed="false" customWidth="true" hidden="false" outlineLevel="0" max="1" min="1" style="32" width="34.63"/>
    <col collapsed="false" customWidth="true" hidden="false" outlineLevel="0" max="3" min="2" style="32" width="17.63"/>
    <col collapsed="false" customWidth="true" hidden="false" outlineLevel="0" max="5" min="4" style="32" width="9.63"/>
    <col collapsed="false" customWidth="false" hidden="false" outlineLevel="0" max="16384" min="6" style="32" width="9"/>
  </cols>
  <sheetData>
    <row r="1" customFormat="false" ht="39.75" hidden="false" customHeight="true" outlineLevel="0" collapsed="false">
      <c r="A1" s="33" t="str">
        <f aca="false">"中和郵務股"&amp;'11'!$G$2&amp;'11'!$H$2&amp;"份 本口 快捷郵遞時效表"</f>
        <v>中和郵務股115年11月份 本口 快捷郵遞時效表</v>
      </c>
      <c r="B1" s="33"/>
      <c r="C1" s="33"/>
      <c r="D1" s="33"/>
      <c r="E1" s="33"/>
    </row>
    <row r="2" customFormat="false" ht="30" hidden="false" customHeight="true" outlineLevel="0" collapsed="false">
      <c r="A2" s="34" t="s">
        <v>29</v>
      </c>
      <c r="B2" s="34" t="s">
        <v>30</v>
      </c>
      <c r="C2" s="34" t="s">
        <v>31</v>
      </c>
      <c r="D2" s="34" t="s">
        <v>32</v>
      </c>
      <c r="E2" s="34" t="s">
        <v>33</v>
      </c>
    </row>
    <row r="3" customFormat="false" ht="30" hidden="false" customHeight="true" outlineLevel="0" collapsed="false">
      <c r="A3" s="35"/>
      <c r="B3" s="36"/>
      <c r="C3" s="37"/>
      <c r="D3" s="38" t="str">
        <f aca="false">IF(OR(B3="",C3=""),"",ROUND((IF(C3&lt;1,INT(B3)+C3,C3)-B3)*1440,0)/1440)</f>
        <v/>
      </c>
      <c r="E3" s="39" t="str">
        <f aca="false">IF(D3="","",IF(D3&lt;0,"打日期",IF(D3*1440&lt;=120,"J+2",IF(D3*1440&lt;=240,"J+4",IF(D3*1440&lt;=360,"J+6",IF(D3*1440&lt;=480,"J+8","8以上"))))))</f>
        <v/>
      </c>
    </row>
    <row r="4" customFormat="false" ht="30" hidden="false" customHeight="true" outlineLevel="0" collapsed="false">
      <c r="A4" s="35"/>
      <c r="B4" s="36"/>
      <c r="C4" s="37"/>
      <c r="D4" s="38" t="str">
        <f aca="false">IF(OR(B4="",C4=""),"",ROUND((IF(C4&lt;1,INT(B4)+C4,C4)-B4)*1440,0)/1440)</f>
        <v/>
      </c>
      <c r="E4" s="39" t="str">
        <f aca="false">IF(D4="","",IF(D4&lt;0,"打日期",IF(D4*1440&lt;=120,"J+2",IF(D4*1440&lt;=240,"J+4",IF(D4*1440&lt;=360,"J+6",IF(D4*1440&lt;=480,"J+8","8以上"))))))</f>
        <v/>
      </c>
    </row>
    <row r="5" customFormat="false" ht="30" hidden="false" customHeight="true" outlineLevel="0" collapsed="false">
      <c r="A5" s="35"/>
      <c r="B5" s="36"/>
      <c r="C5" s="37"/>
      <c r="D5" s="38" t="str">
        <f aca="false">IF(OR(B5="",C5=""),"",ROUND((IF(C5&lt;1,INT(B5)+C5,C5)-B5)*1440,0)/1440)</f>
        <v/>
      </c>
      <c r="E5" s="39" t="str">
        <f aca="false">IF(D5="","",IF(D5&lt;0,"打日期",IF(D5*1440&lt;=120,"J+2",IF(D5*1440&lt;=240,"J+4",IF(D5*1440&lt;=360,"J+6",IF(D5*1440&lt;=480,"J+8","8以上"))))))</f>
        <v/>
      </c>
    </row>
    <row r="6" customFormat="false" ht="30" hidden="false" customHeight="true" outlineLevel="0" collapsed="false">
      <c r="A6" s="35"/>
      <c r="B6" s="36"/>
      <c r="C6" s="37"/>
      <c r="D6" s="38" t="str">
        <f aca="false">IF(OR(B6="",C6=""),"",ROUND((IF(C6&lt;1,INT(B6)+C6,C6)-B6)*1440,0)/1440)</f>
        <v/>
      </c>
      <c r="E6" s="39" t="str">
        <f aca="false">IF(D6="","",IF(D6&lt;0,"打日期",IF(D6*1440&lt;=120,"J+2",IF(D6*1440&lt;=240,"J+4",IF(D6*1440&lt;=360,"J+6",IF(D6*1440&lt;=480,"J+8","8以上"))))))</f>
        <v/>
      </c>
    </row>
    <row r="7" customFormat="false" ht="30" hidden="false" customHeight="true" outlineLevel="0" collapsed="false">
      <c r="A7" s="35"/>
      <c r="B7" s="36"/>
      <c r="C7" s="37"/>
      <c r="D7" s="38" t="str">
        <f aca="false">IF(OR(B7="",C7=""),"",ROUND((IF(C7&lt;1,INT(B7)+C7,C7)-B7)*1440,0)/1440)</f>
        <v/>
      </c>
      <c r="E7" s="39" t="str">
        <f aca="false">IF(D7="","",IF(D7&lt;0,"打日期",IF(D7*1440&lt;=120,"J+2",IF(D7*1440&lt;=240,"J+4",IF(D7*1440&lt;=360,"J+6",IF(D7*1440&lt;=480,"J+8","8以上"))))))</f>
        <v/>
      </c>
    </row>
    <row r="8" customFormat="false" ht="30" hidden="false" customHeight="true" outlineLevel="0" collapsed="false">
      <c r="A8" s="35"/>
      <c r="B8" s="36"/>
      <c r="C8" s="37"/>
      <c r="D8" s="38" t="str">
        <f aca="false">IF(OR(B8="",C8=""),"",ROUND((IF(C8&lt;1,INT(B8)+C8,C8)-B8)*1440,0)/1440)</f>
        <v/>
      </c>
      <c r="E8" s="39" t="str">
        <f aca="false">IF(D8="","",IF(D8&lt;0,"打日期",IF(D8*1440&lt;=120,"J+2",IF(D8*1440&lt;=240,"J+4",IF(D8*1440&lt;=360,"J+6",IF(D8*1440&lt;=480,"J+8","8以上"))))))</f>
        <v/>
      </c>
    </row>
    <row r="9" customFormat="false" ht="30" hidden="false" customHeight="true" outlineLevel="0" collapsed="false">
      <c r="A9" s="35"/>
      <c r="B9" s="36"/>
      <c r="C9" s="37"/>
      <c r="D9" s="38" t="str">
        <f aca="false">IF(OR(B9="",C9=""),"",ROUND((IF(C9&lt;1,INT(B9)+C9,C9)-B9)*1440,0)/1440)</f>
        <v/>
      </c>
      <c r="E9" s="39" t="str">
        <f aca="false">IF(D9="","",IF(D9&lt;0,"打日期",IF(D9*1440&lt;=120,"J+2",IF(D9*1440&lt;=240,"J+4",IF(D9*1440&lt;=360,"J+6",IF(D9*1440&lt;=480,"J+8","8以上"))))))</f>
        <v/>
      </c>
    </row>
    <row r="10" customFormat="false" ht="30" hidden="false" customHeight="true" outlineLevel="0" collapsed="false">
      <c r="A10" s="35"/>
      <c r="B10" s="36"/>
      <c r="C10" s="37"/>
      <c r="D10" s="38" t="str">
        <f aca="false">IF(OR(B10="",C10=""),"",ROUND((IF(C10&lt;1,INT(B10)+C10,C10)-B10)*1440,0)/1440)</f>
        <v/>
      </c>
      <c r="E10" s="39" t="str">
        <f aca="false">IF(D10="","",IF(D10&lt;0,"打日期",IF(D10*1440&lt;=120,"J+2",IF(D10*1440&lt;=240,"J+4",IF(D10*1440&lt;=360,"J+6",IF(D10*1440&lt;=480,"J+8","8以上"))))))</f>
        <v/>
      </c>
    </row>
    <row r="11" customFormat="false" ht="30" hidden="false" customHeight="true" outlineLevel="0" collapsed="false">
      <c r="A11" s="35"/>
      <c r="B11" s="36"/>
      <c r="C11" s="37"/>
      <c r="D11" s="38" t="str">
        <f aca="false">IF(OR(B11="",C11=""),"",ROUND((IF(C11&lt;1,INT(B11)+C11,C11)-B11)*1440,0)/1440)</f>
        <v/>
      </c>
      <c r="E11" s="39" t="str">
        <f aca="false">IF(D11="","",IF(D11&lt;0,"打日期",IF(D11*1440&lt;=120,"J+2",IF(D11*1440&lt;=240,"J+4",IF(D11*1440&lt;=360,"J+6",IF(D11*1440&lt;=480,"J+8","8以上"))))))</f>
        <v/>
      </c>
    </row>
    <row r="12" customFormat="false" ht="30" hidden="false" customHeight="true" outlineLevel="0" collapsed="false">
      <c r="A12" s="35"/>
      <c r="B12" s="36"/>
      <c r="C12" s="37"/>
      <c r="D12" s="38" t="str">
        <f aca="false">IF(OR(B12="",C12=""),"",ROUND((IF(C12&lt;1,INT(B12)+C12,C12)-B12)*1440,0)/1440)</f>
        <v/>
      </c>
      <c r="E12" s="39" t="str">
        <f aca="false">IF(D12="","",IF(D12&lt;0,"打日期",IF(D12*1440&lt;=120,"J+2",IF(D12*1440&lt;=240,"J+4",IF(D12*1440&lt;=360,"J+6",IF(D12*1440&lt;=480,"J+8","8以上"))))))</f>
        <v/>
      </c>
    </row>
    <row r="13" customFormat="false" ht="30" hidden="false" customHeight="true" outlineLevel="0" collapsed="false">
      <c r="A13" s="35"/>
      <c r="B13" s="36"/>
      <c r="C13" s="37"/>
      <c r="D13" s="38" t="str">
        <f aca="false">IF(OR(B13="",C13=""),"",ROUND((IF(C13&lt;1,INT(B13)+C13,C13)-B13)*1440,0)/1440)</f>
        <v/>
      </c>
      <c r="E13" s="39" t="str">
        <f aca="false">IF(D13="","",IF(D13&lt;0,"打日期",IF(D13*1440&lt;=120,"J+2",IF(D13*1440&lt;=240,"J+4",IF(D13*1440&lt;=360,"J+6",IF(D13*1440&lt;=480,"J+8","8以上"))))))</f>
        <v/>
      </c>
    </row>
    <row r="14" customFormat="false" ht="30" hidden="false" customHeight="true" outlineLevel="0" collapsed="false">
      <c r="A14" s="35"/>
      <c r="B14" s="36"/>
      <c r="C14" s="37"/>
      <c r="D14" s="38" t="str">
        <f aca="false">IF(OR(B14="",C14=""),"",ROUND((IF(C14&lt;1,INT(B14)+C14,C14)-B14)*1440,0)/1440)</f>
        <v/>
      </c>
      <c r="E14" s="39" t="str">
        <f aca="false">IF(D14="","",IF(D14&lt;0,"打日期",IF(D14*1440&lt;=120,"J+2",IF(D14*1440&lt;=240,"J+4",IF(D14*1440&lt;=360,"J+6",IF(D14*1440&lt;=480,"J+8","8以上"))))))</f>
        <v/>
      </c>
    </row>
    <row r="15" customFormat="false" ht="30" hidden="false" customHeight="true" outlineLevel="0" collapsed="false">
      <c r="A15" s="35"/>
      <c r="B15" s="36"/>
      <c r="C15" s="37"/>
      <c r="D15" s="38" t="str">
        <f aca="false">IF(OR(B15="",C15=""),"",ROUND((IF(C15&lt;1,INT(B15)+C15,C15)-B15)*1440,0)/1440)</f>
        <v/>
      </c>
      <c r="E15" s="39" t="str">
        <f aca="false">IF(D15="","",IF(D15&lt;0,"打日期",IF(D15*1440&lt;=120,"J+2",IF(D15*1440&lt;=240,"J+4",IF(D15*1440&lt;=360,"J+6",IF(D15*1440&lt;=480,"J+8","8以上"))))))</f>
        <v/>
      </c>
    </row>
    <row r="16" customFormat="false" ht="30" hidden="false" customHeight="true" outlineLevel="0" collapsed="false">
      <c r="A16" s="35"/>
      <c r="B16" s="36"/>
      <c r="C16" s="37"/>
      <c r="D16" s="38" t="str">
        <f aca="false">IF(OR(B16="",C16=""),"",ROUND((IF(C16&lt;1,INT(B16)+C16,C16)-B16)*1440,0)/1440)</f>
        <v/>
      </c>
      <c r="E16" s="39" t="str">
        <f aca="false">IF(D16="","",IF(D16&lt;0,"打日期",IF(D16*1440&lt;=120,"J+2",IF(D16*1440&lt;=240,"J+4",IF(D16*1440&lt;=360,"J+6",IF(D16*1440&lt;=480,"J+8","8以上"))))))</f>
        <v/>
      </c>
    </row>
    <row r="17" customFormat="false" ht="30" hidden="false" customHeight="true" outlineLevel="0" collapsed="false">
      <c r="A17" s="35"/>
      <c r="B17" s="36"/>
      <c r="C17" s="37"/>
      <c r="D17" s="38" t="str">
        <f aca="false">IF(OR(B17="",C17=""),"",ROUND((IF(C17&lt;1,INT(B17)+C17,C17)-B17)*1440,0)/1440)</f>
        <v/>
      </c>
      <c r="E17" s="39" t="str">
        <f aca="false">IF(D17="","",IF(D17&lt;0,"打日期",IF(D17*1440&lt;=120,"J+2",IF(D17*1440&lt;=240,"J+4",IF(D17*1440&lt;=360,"J+6",IF(D17*1440&lt;=480,"J+8","8以上"))))))</f>
        <v/>
      </c>
    </row>
    <row r="18" customFormat="false" ht="75" hidden="false" customHeight="true" outlineLevel="0" collapsed="false">
      <c r="A18" s="40" t="s">
        <v>34</v>
      </c>
      <c r="B18" s="40"/>
      <c r="C18" s="40"/>
      <c r="D18" s="40"/>
      <c r="E18" s="40"/>
    </row>
    <row r="20" customFormat="false" ht="21" hidden="false" customHeight="true" outlineLevel="0" collapsed="false">
      <c r="A20" s="41" t="s">
        <v>35</v>
      </c>
      <c r="C20" s="41" t="s">
        <v>28</v>
      </c>
    </row>
    <row r="21" customFormat="false" ht="39.75" hidden="false" customHeight="true" outlineLevel="0" collapsed="false">
      <c r="A21" s="33" t="str">
        <f aca="false">"中和郵務股"&amp;'11'!$G$2&amp;'11'!$H$2&amp;"份 十大都會區 快捷郵遞時效表"</f>
        <v>中和郵務股115年11月份 十大都會區 快捷郵遞時效表</v>
      </c>
      <c r="B21" s="33"/>
      <c r="C21" s="33"/>
      <c r="D21" s="33"/>
      <c r="E21" s="33"/>
    </row>
    <row r="22" customFormat="false" ht="30" hidden="false" customHeight="true" outlineLevel="0" collapsed="false">
      <c r="A22" s="34" t="s">
        <v>29</v>
      </c>
      <c r="B22" s="34" t="s">
        <v>30</v>
      </c>
      <c r="C22" s="34" t="s">
        <v>31</v>
      </c>
      <c r="D22" s="34" t="s">
        <v>32</v>
      </c>
      <c r="E22" s="34" t="s">
        <v>33</v>
      </c>
    </row>
    <row r="23" customFormat="false" ht="30" hidden="false" customHeight="true" outlineLevel="0" collapsed="false">
      <c r="A23" s="35"/>
      <c r="B23" s="36"/>
      <c r="C23" s="37"/>
      <c r="D23" s="38" t="str">
        <f aca="false">IF(OR(B23="",C23=""),"",ROUND((IF(C23&lt;1,INT(B23)+C23,C23)-B23)*1440,0)/1440)</f>
        <v/>
      </c>
      <c r="E23" s="39" t="str">
        <f aca="false">IF(D23="","",IF(D23&lt;0,"打日期",IF(D23*1440&lt;=120,"J+2",IF(D23*1440&lt;=240,"J+4",IF(D23*1440&lt;=360,"J+6",IF(D23*1440&lt;=480,"J+8","8以上"))))))</f>
        <v/>
      </c>
    </row>
    <row r="24" customFormat="false" ht="30" hidden="false" customHeight="true" outlineLevel="0" collapsed="false">
      <c r="A24" s="35"/>
      <c r="B24" s="36"/>
      <c r="C24" s="37"/>
      <c r="D24" s="38" t="str">
        <f aca="false">IF(OR(B24="",C24=""),"",ROUND((IF(C24&lt;1,INT(B24)+C24,C24)-B24)*1440,0)/1440)</f>
        <v/>
      </c>
      <c r="E24" s="39" t="str">
        <f aca="false">IF(D24="","",IF(D24&lt;0,"打日期",IF(D24*1440&lt;=120,"J+2",IF(D24*1440&lt;=240,"J+4",IF(D24*1440&lt;=360,"J+6",IF(D24*1440&lt;=480,"J+8","8以上"))))))</f>
        <v/>
      </c>
    </row>
    <row r="25" customFormat="false" ht="30" hidden="false" customHeight="true" outlineLevel="0" collapsed="false">
      <c r="A25" s="35"/>
      <c r="B25" s="36"/>
      <c r="C25" s="37"/>
      <c r="D25" s="38" t="str">
        <f aca="false">IF(OR(B25="",C25=""),"",ROUND((IF(C25&lt;1,INT(B25)+C25,C25)-B25)*1440,0)/1440)</f>
        <v/>
      </c>
      <c r="E25" s="39" t="str">
        <f aca="false">IF(D25="","",IF(D25&lt;0,"打日期",IF(D25*1440&lt;=120,"J+2",IF(D25*1440&lt;=240,"J+4",IF(D25*1440&lt;=360,"J+6",IF(D25*1440&lt;=480,"J+8","8以上"))))))</f>
        <v/>
      </c>
    </row>
    <row r="26" customFormat="false" ht="30" hidden="false" customHeight="true" outlineLevel="0" collapsed="false">
      <c r="A26" s="35"/>
      <c r="B26" s="36"/>
      <c r="C26" s="37"/>
      <c r="D26" s="38" t="str">
        <f aca="false">IF(OR(B26="",C26=""),"",ROUND((IF(C26&lt;1,INT(B26)+C26,C26)-B26)*1440,0)/1440)</f>
        <v/>
      </c>
      <c r="E26" s="39" t="str">
        <f aca="false">IF(D26="","",IF(D26&lt;0,"打日期",IF(D26*1440&lt;=120,"J+2",IF(D26*1440&lt;=240,"J+4",IF(D26*1440&lt;=360,"J+6",IF(D26*1440&lt;=480,"J+8","8以上"))))))</f>
        <v/>
      </c>
    </row>
    <row r="27" customFormat="false" ht="30" hidden="false" customHeight="true" outlineLevel="0" collapsed="false">
      <c r="A27" s="35"/>
      <c r="B27" s="36"/>
      <c r="C27" s="37"/>
      <c r="D27" s="38" t="str">
        <f aca="false">IF(OR(B27="",C27=""),"",ROUND((IF(C27&lt;1,INT(B27)+C27,C27)-B27)*1440,0)/1440)</f>
        <v/>
      </c>
      <c r="E27" s="39" t="str">
        <f aca="false">IF(D27="","",IF(D27&lt;0,"打日期",IF(D27*1440&lt;=120,"J+2",IF(D27*1440&lt;=240,"J+4",IF(D27*1440&lt;=360,"J+6",IF(D27*1440&lt;=480,"J+8","8以上"))))))</f>
        <v/>
      </c>
    </row>
    <row r="28" customFormat="false" ht="30" hidden="false" customHeight="true" outlineLevel="0" collapsed="false">
      <c r="A28" s="35"/>
      <c r="B28" s="36"/>
      <c r="C28" s="37"/>
      <c r="D28" s="38" t="str">
        <f aca="false">IF(OR(B28="",C28=""),"",ROUND((IF(C28&lt;1,INT(B28)+C28,C28)-B28)*1440,0)/1440)</f>
        <v/>
      </c>
      <c r="E28" s="39" t="str">
        <f aca="false">IF(D28="","",IF(D28&lt;0,"打日期",IF(D28*1440&lt;=120,"J+2",IF(D28*1440&lt;=240,"J+4",IF(D28*1440&lt;=360,"J+6",IF(D28*1440&lt;=480,"J+8","8以上"))))))</f>
        <v/>
      </c>
    </row>
    <row r="29" customFormat="false" ht="30" hidden="false" customHeight="true" outlineLevel="0" collapsed="false">
      <c r="A29" s="35"/>
      <c r="B29" s="36"/>
      <c r="C29" s="37"/>
      <c r="D29" s="38" t="str">
        <f aca="false">IF(OR(B29="",C29=""),"",ROUND((IF(C29&lt;1,INT(B29)+C29,C29)-B29)*1440,0)/1440)</f>
        <v/>
      </c>
      <c r="E29" s="39" t="str">
        <f aca="false">IF(D29="","",IF(D29&lt;0,"打日期",IF(D29*1440&lt;=120,"J+2",IF(D29*1440&lt;=240,"J+4",IF(D29*1440&lt;=360,"J+6",IF(D29*1440&lt;=480,"J+8","8以上"))))))</f>
        <v/>
      </c>
    </row>
    <row r="30" customFormat="false" ht="30" hidden="false" customHeight="true" outlineLevel="0" collapsed="false">
      <c r="A30" s="35"/>
      <c r="B30" s="36"/>
      <c r="C30" s="37"/>
      <c r="D30" s="38" t="str">
        <f aca="false">IF(OR(B30="",C30=""),"",ROUND((IF(C30&lt;1,INT(B30)+C30,C30)-B30)*1440,0)/1440)</f>
        <v/>
      </c>
      <c r="E30" s="39" t="str">
        <f aca="false">IF(D30="","",IF(D30&lt;0,"打日期",IF(D30*1440&lt;=120,"J+2",IF(D30*1440&lt;=240,"J+4",IF(D30*1440&lt;=360,"J+6",IF(D30*1440&lt;=480,"J+8","8以上"))))))</f>
        <v/>
      </c>
    </row>
    <row r="31" customFormat="false" ht="30" hidden="false" customHeight="true" outlineLevel="0" collapsed="false">
      <c r="A31" s="35"/>
      <c r="B31" s="36"/>
      <c r="C31" s="37"/>
      <c r="D31" s="38" t="str">
        <f aca="false">IF(OR(B31="",C31=""),"",ROUND((IF(C31&lt;1,INT(B31)+C31,C31)-B31)*1440,0)/1440)</f>
        <v/>
      </c>
      <c r="E31" s="39" t="str">
        <f aca="false">IF(D31="","",IF(D31&lt;0,"打日期",IF(D31*1440&lt;=120,"J+2",IF(D31*1440&lt;=240,"J+4",IF(D31*1440&lt;=360,"J+6",IF(D31*1440&lt;=480,"J+8","8以上"))))))</f>
        <v/>
      </c>
    </row>
    <row r="32" customFormat="false" ht="30" hidden="false" customHeight="true" outlineLevel="0" collapsed="false">
      <c r="A32" s="35"/>
      <c r="B32" s="36"/>
      <c r="C32" s="37"/>
      <c r="D32" s="38" t="str">
        <f aca="false">IF(OR(B32="",C32=""),"",ROUND((IF(C32&lt;1,INT(B32)+C32,C32)-B32)*1440,0)/1440)</f>
        <v/>
      </c>
      <c r="E32" s="39" t="str">
        <f aca="false">IF(D32="","",IF(D32&lt;0,"打日期",IF(D32*1440&lt;=120,"J+2",IF(D32*1440&lt;=240,"J+4",IF(D32*1440&lt;=360,"J+6",IF(D32*1440&lt;=480,"J+8","8以上"))))))</f>
        <v/>
      </c>
    </row>
    <row r="33" customFormat="false" ht="30" hidden="false" customHeight="true" outlineLevel="0" collapsed="false">
      <c r="A33" s="35"/>
      <c r="B33" s="36"/>
      <c r="C33" s="37"/>
      <c r="D33" s="38" t="str">
        <f aca="false">IF(OR(B33="",C33=""),"",ROUND((IF(C33&lt;1,INT(B33)+C33,C33)-B33)*1440,0)/1440)</f>
        <v/>
      </c>
      <c r="E33" s="39" t="str">
        <f aca="false">IF(D33="","",IF(D33&lt;0,"打日期",IF(D33*1440&lt;=120,"J+2",IF(D33*1440&lt;=240,"J+4",IF(D33*1440&lt;=360,"J+6",IF(D33*1440&lt;=480,"J+8","8以上"))))))</f>
        <v/>
      </c>
    </row>
    <row r="34" customFormat="false" ht="30" hidden="false" customHeight="true" outlineLevel="0" collapsed="false">
      <c r="A34" s="35"/>
      <c r="B34" s="36"/>
      <c r="C34" s="37"/>
      <c r="D34" s="38" t="str">
        <f aca="false">IF(OR(B34="",C34=""),"",ROUND((IF(C34&lt;1,INT(B34)+C34,C34)-B34)*1440,0)/1440)</f>
        <v/>
      </c>
      <c r="E34" s="39" t="str">
        <f aca="false">IF(D34="","",IF(D34&lt;0,"打日期",IF(D34*1440&lt;=120,"J+2",IF(D34*1440&lt;=240,"J+4",IF(D34*1440&lt;=360,"J+6",IF(D34*1440&lt;=480,"J+8","8以上"))))))</f>
        <v/>
      </c>
    </row>
    <row r="35" customFormat="false" ht="30" hidden="false" customHeight="true" outlineLevel="0" collapsed="false">
      <c r="A35" s="35"/>
      <c r="B35" s="36"/>
      <c r="C35" s="37"/>
      <c r="D35" s="38" t="str">
        <f aca="false">IF(OR(B35="",C35=""),"",ROUND((IF(C35&lt;1,INT(B35)+C35,C35)-B35)*1440,0)/1440)</f>
        <v/>
      </c>
      <c r="E35" s="39" t="str">
        <f aca="false">IF(D35="","",IF(D35&lt;0,"打日期",IF(D35*1440&lt;=120,"J+2",IF(D35*1440&lt;=240,"J+4",IF(D35*1440&lt;=360,"J+6",IF(D35*1440&lt;=480,"J+8","8以上"))))))</f>
        <v/>
      </c>
    </row>
    <row r="36" customFormat="false" ht="30" hidden="false" customHeight="true" outlineLevel="0" collapsed="false">
      <c r="A36" s="35"/>
      <c r="B36" s="36"/>
      <c r="C36" s="37"/>
      <c r="D36" s="38" t="str">
        <f aca="false">IF(OR(B36="",C36=""),"",ROUND((IF(C36&lt;1,INT(B36)+C36,C36)-B36)*1440,0)/1440)</f>
        <v/>
      </c>
      <c r="E36" s="39" t="str">
        <f aca="false">IF(D36="","",IF(D36&lt;0,"打日期",IF(D36*1440&lt;=120,"J+2",IF(D36*1440&lt;=240,"J+4",IF(D36*1440&lt;=360,"J+6",IF(D36*1440&lt;=480,"J+8","8以上"))))))</f>
        <v/>
      </c>
    </row>
    <row r="37" customFormat="false" ht="30" hidden="false" customHeight="true" outlineLevel="0" collapsed="false">
      <c r="A37" s="35"/>
      <c r="B37" s="36"/>
      <c r="C37" s="37"/>
      <c r="D37" s="38" t="str">
        <f aca="false">IF(OR(B37="",C37=""),"",ROUND((IF(C37&lt;1,INT(B37)+C37,C37)-B37)*1440,0)/1440)</f>
        <v/>
      </c>
      <c r="E37" s="39" t="str">
        <f aca="false">IF(D37="","",IF(D37&lt;0,"打日期",IF(D37*1440&lt;=120,"J+2",IF(D37*1440&lt;=240,"J+4",IF(D37*1440&lt;=360,"J+6",IF(D37*1440&lt;=480,"J+8","8以上"))))))</f>
        <v/>
      </c>
    </row>
    <row r="38" customFormat="false" ht="75" hidden="false" customHeight="true" outlineLevel="0" collapsed="false">
      <c r="A38" s="40" t="s">
        <v>36</v>
      </c>
      <c r="B38" s="40"/>
      <c r="C38" s="40"/>
      <c r="D38" s="40"/>
      <c r="E38" s="40"/>
    </row>
    <row r="40" customFormat="false" ht="21" hidden="false" customHeight="true" outlineLevel="0" collapsed="false">
      <c r="A40" s="41" t="s">
        <v>35</v>
      </c>
      <c r="C40" s="41" t="s">
        <v>28</v>
      </c>
    </row>
    <row r="41" customFormat="false" ht="39.75" hidden="false" customHeight="true" outlineLevel="0" collapsed="false">
      <c r="A41" s="33" t="str">
        <f aca="false">"中和郵務股"&amp;'11'!$G$2&amp;'11'!$H$2&amp;"份 區域內互寄 快捷郵遞時效表"</f>
        <v>中和郵務股115年11月份 區域內互寄 快捷郵遞時效表</v>
      </c>
      <c r="B41" s="33"/>
      <c r="C41" s="33"/>
      <c r="D41" s="33"/>
      <c r="E41" s="33"/>
    </row>
    <row r="42" customFormat="false" ht="30" hidden="false" customHeight="true" outlineLevel="0" collapsed="false">
      <c r="A42" s="34" t="s">
        <v>29</v>
      </c>
      <c r="B42" s="34" t="s">
        <v>30</v>
      </c>
      <c r="C42" s="34" t="s">
        <v>31</v>
      </c>
      <c r="D42" s="34" t="s">
        <v>32</v>
      </c>
      <c r="E42" s="34" t="s">
        <v>33</v>
      </c>
    </row>
    <row r="43" customFormat="false" ht="30" hidden="false" customHeight="true" outlineLevel="0" collapsed="false">
      <c r="A43" s="35"/>
      <c r="B43" s="36"/>
      <c r="C43" s="37"/>
      <c r="D43" s="38" t="str">
        <f aca="false">IF(OR(B43="",C43=""),"",ROUND((IF(C43&lt;1,INT(B43)+C43,C43)-B43)*1440,0)/1440)</f>
        <v/>
      </c>
      <c r="E43" s="39" t="str">
        <f aca="false">IF(D43="","",IF(D43&lt;0,"打日期",IF(D43*1440&lt;=120,"J+2",IF(D43*1440&lt;=240,"J+4",IF(D43*1440&lt;=360,"J+6",IF(D43*1440&lt;=480,"J+8","8以上"))))))</f>
        <v/>
      </c>
    </row>
    <row r="44" customFormat="false" ht="30" hidden="false" customHeight="true" outlineLevel="0" collapsed="false">
      <c r="A44" s="35"/>
      <c r="B44" s="36"/>
      <c r="C44" s="37"/>
      <c r="D44" s="38" t="str">
        <f aca="false">IF(OR(B44="",C44=""),"",ROUND((IF(C44&lt;1,INT(B44)+C44,C44)-B44)*1440,0)/1440)</f>
        <v/>
      </c>
      <c r="E44" s="39" t="str">
        <f aca="false">IF(D44="","",IF(D44&lt;0,"打日期",IF(D44*1440&lt;=120,"J+2",IF(D44*1440&lt;=240,"J+4",IF(D44*1440&lt;=360,"J+6",IF(D44*1440&lt;=480,"J+8","8以上"))))))</f>
        <v/>
      </c>
    </row>
    <row r="45" customFormat="false" ht="30" hidden="false" customHeight="true" outlineLevel="0" collapsed="false">
      <c r="A45" s="35"/>
      <c r="B45" s="36"/>
      <c r="C45" s="37"/>
      <c r="D45" s="38" t="str">
        <f aca="false">IF(OR(B45="",C45=""),"",ROUND((IF(C45&lt;1,INT(B45)+C45,C45)-B45)*1440,0)/1440)</f>
        <v/>
      </c>
      <c r="E45" s="39" t="str">
        <f aca="false">IF(D45="","",IF(D45&lt;0,"打日期",IF(D45*1440&lt;=120,"J+2",IF(D45*1440&lt;=240,"J+4",IF(D45*1440&lt;=360,"J+6",IF(D45*1440&lt;=480,"J+8","8以上"))))))</f>
        <v/>
      </c>
    </row>
    <row r="46" customFormat="false" ht="30" hidden="false" customHeight="true" outlineLevel="0" collapsed="false">
      <c r="A46" s="35"/>
      <c r="B46" s="36"/>
      <c r="C46" s="37"/>
      <c r="D46" s="38" t="str">
        <f aca="false">IF(OR(B46="",C46=""),"",ROUND((IF(C46&lt;1,INT(B46)+C46,C46)-B46)*1440,0)/1440)</f>
        <v/>
      </c>
      <c r="E46" s="39" t="str">
        <f aca="false">IF(D46="","",IF(D46&lt;0,"打日期",IF(D46*1440&lt;=120,"J+2",IF(D46*1440&lt;=240,"J+4",IF(D46*1440&lt;=360,"J+6",IF(D46*1440&lt;=480,"J+8","8以上"))))))</f>
        <v/>
      </c>
    </row>
    <row r="47" customFormat="false" ht="30" hidden="false" customHeight="true" outlineLevel="0" collapsed="false">
      <c r="A47" s="35"/>
      <c r="B47" s="36"/>
      <c r="C47" s="37"/>
      <c r="D47" s="38" t="str">
        <f aca="false">IF(OR(B47="",C47=""),"",ROUND((IF(C47&lt;1,INT(B47)+C47,C47)-B47)*1440,0)/1440)</f>
        <v/>
      </c>
      <c r="E47" s="39" t="str">
        <f aca="false">IF(D47="","",IF(D47&lt;0,"打日期",IF(D47*1440&lt;=120,"J+2",IF(D47*1440&lt;=240,"J+4",IF(D47*1440&lt;=360,"J+6",IF(D47*1440&lt;=480,"J+8","8以上"))))))</f>
        <v/>
      </c>
    </row>
    <row r="48" customFormat="false" ht="30" hidden="false" customHeight="true" outlineLevel="0" collapsed="false">
      <c r="A48" s="35"/>
      <c r="B48" s="36"/>
      <c r="C48" s="37"/>
      <c r="D48" s="38" t="str">
        <f aca="false">IF(OR(B48="",C48=""),"",ROUND((IF(C48&lt;1,INT(B48)+C48,C48)-B48)*1440,0)/1440)</f>
        <v/>
      </c>
      <c r="E48" s="39" t="str">
        <f aca="false">IF(D48="","",IF(D48&lt;0,"打日期",IF(D48*1440&lt;=120,"J+2",IF(D48*1440&lt;=240,"J+4",IF(D48*1440&lt;=360,"J+6",IF(D48*1440&lt;=480,"J+8","8以上"))))))</f>
        <v/>
      </c>
    </row>
    <row r="49" customFormat="false" ht="30" hidden="false" customHeight="true" outlineLevel="0" collapsed="false">
      <c r="A49" s="35"/>
      <c r="B49" s="36"/>
      <c r="C49" s="37"/>
      <c r="D49" s="38" t="str">
        <f aca="false">IF(OR(B49="",C49=""),"",ROUND((IF(C49&lt;1,INT(B49)+C49,C49)-B49)*1440,0)/1440)</f>
        <v/>
      </c>
      <c r="E49" s="39" t="str">
        <f aca="false">IF(D49="","",IF(D49&lt;0,"打日期",IF(D49*1440&lt;=120,"J+2",IF(D49*1440&lt;=240,"J+4",IF(D49*1440&lt;=360,"J+6",IF(D49*1440&lt;=480,"J+8","8以上"))))))</f>
        <v/>
      </c>
    </row>
    <row r="50" customFormat="false" ht="30" hidden="false" customHeight="true" outlineLevel="0" collapsed="false">
      <c r="A50" s="35"/>
      <c r="B50" s="36"/>
      <c r="C50" s="37"/>
      <c r="D50" s="38" t="str">
        <f aca="false">IF(OR(B50="",C50=""),"",ROUND((IF(C50&lt;1,INT(B50)+C50,C50)-B50)*1440,0)/1440)</f>
        <v/>
      </c>
      <c r="E50" s="39" t="str">
        <f aca="false">IF(D50="","",IF(D50&lt;0,"打日期",IF(D50*1440&lt;=120,"J+2",IF(D50*1440&lt;=240,"J+4",IF(D50*1440&lt;=360,"J+6",IF(D50*1440&lt;=480,"J+8","8以上"))))))</f>
        <v/>
      </c>
    </row>
    <row r="51" customFormat="false" ht="30" hidden="false" customHeight="true" outlineLevel="0" collapsed="false">
      <c r="A51" s="35"/>
      <c r="B51" s="36"/>
      <c r="C51" s="37"/>
      <c r="D51" s="38" t="str">
        <f aca="false">IF(OR(B51="",C51=""),"",ROUND((IF(C51&lt;1,INT(B51)+C51,C51)-B51)*1440,0)/1440)</f>
        <v/>
      </c>
      <c r="E51" s="39" t="str">
        <f aca="false">IF(D51="","",IF(D51&lt;0,"打日期",IF(D51*1440&lt;=120,"J+2",IF(D51*1440&lt;=240,"J+4",IF(D51*1440&lt;=360,"J+6",IF(D51*1440&lt;=480,"J+8","8以上"))))))</f>
        <v/>
      </c>
    </row>
    <row r="52" customFormat="false" ht="30" hidden="false" customHeight="true" outlineLevel="0" collapsed="false">
      <c r="A52" s="35"/>
      <c r="B52" s="36"/>
      <c r="C52" s="37"/>
      <c r="D52" s="38" t="str">
        <f aca="false">IF(OR(B52="",C52=""),"",ROUND((IF(C52&lt;1,INT(B52)+C52,C52)-B52)*1440,0)/1440)</f>
        <v/>
      </c>
      <c r="E52" s="39" t="str">
        <f aca="false">IF(D52="","",IF(D52&lt;0,"打日期",IF(D52*1440&lt;=120,"J+2",IF(D52*1440&lt;=240,"J+4",IF(D52*1440&lt;=360,"J+6",IF(D52*1440&lt;=480,"J+8","8以上"))))))</f>
        <v/>
      </c>
    </row>
    <row r="53" customFormat="false" ht="30" hidden="false" customHeight="true" outlineLevel="0" collapsed="false">
      <c r="A53" s="35"/>
      <c r="B53" s="36"/>
      <c r="C53" s="37"/>
      <c r="D53" s="38" t="str">
        <f aca="false">IF(OR(B53="",C53=""),"",ROUND((IF(C53&lt;1,INT(B53)+C53,C53)-B53)*1440,0)/1440)</f>
        <v/>
      </c>
      <c r="E53" s="39" t="str">
        <f aca="false">IF(D53="","",IF(D53&lt;0,"打日期",IF(D53*1440&lt;=120,"J+2",IF(D53*1440&lt;=240,"J+4",IF(D53*1440&lt;=360,"J+6",IF(D53*1440&lt;=480,"J+8","8以上"))))))</f>
        <v/>
      </c>
    </row>
    <row r="54" customFormat="false" ht="30" hidden="false" customHeight="true" outlineLevel="0" collapsed="false">
      <c r="A54" s="35"/>
      <c r="B54" s="36"/>
      <c r="C54" s="37"/>
      <c r="D54" s="38" t="str">
        <f aca="false">IF(OR(B54="",C54=""),"",ROUND((IF(C54&lt;1,INT(B54)+C54,C54)-B54)*1440,0)/1440)</f>
        <v/>
      </c>
      <c r="E54" s="39" t="str">
        <f aca="false">IF(D54="","",IF(D54&lt;0,"打日期",IF(D54*1440&lt;=120,"J+2",IF(D54*1440&lt;=240,"J+4",IF(D54*1440&lt;=360,"J+6",IF(D54*1440&lt;=480,"J+8","8以上"))))))</f>
        <v/>
      </c>
    </row>
    <row r="55" customFormat="false" ht="30" hidden="false" customHeight="true" outlineLevel="0" collapsed="false">
      <c r="A55" s="35"/>
      <c r="B55" s="36"/>
      <c r="C55" s="37"/>
      <c r="D55" s="38" t="str">
        <f aca="false">IF(OR(B55="",C55=""),"",ROUND((IF(C55&lt;1,INT(B55)+C55,C55)-B55)*1440,0)/1440)</f>
        <v/>
      </c>
      <c r="E55" s="39" t="str">
        <f aca="false">IF(D55="","",IF(D55&lt;0,"打日期",IF(D55*1440&lt;=120,"J+2",IF(D55*1440&lt;=240,"J+4",IF(D55*1440&lt;=360,"J+6",IF(D55*1440&lt;=480,"J+8","8以上"))))))</f>
        <v/>
      </c>
    </row>
    <row r="56" customFormat="false" ht="30" hidden="false" customHeight="true" outlineLevel="0" collapsed="false">
      <c r="A56" s="35"/>
      <c r="B56" s="36"/>
      <c r="C56" s="37"/>
      <c r="D56" s="38" t="str">
        <f aca="false">IF(OR(B56="",C56=""),"",ROUND((IF(C56&lt;1,INT(B56)+C56,C56)-B56)*1440,0)/1440)</f>
        <v/>
      </c>
      <c r="E56" s="39" t="str">
        <f aca="false">IF(D56="","",IF(D56&lt;0,"打日期",IF(D56*1440&lt;=120,"J+2",IF(D56*1440&lt;=240,"J+4",IF(D56*1440&lt;=360,"J+6",IF(D56*1440&lt;=480,"J+8","8以上"))))))</f>
        <v/>
      </c>
    </row>
    <row r="57" customFormat="false" ht="30" hidden="false" customHeight="true" outlineLevel="0" collapsed="false">
      <c r="A57" s="35"/>
      <c r="B57" s="36"/>
      <c r="C57" s="37"/>
      <c r="D57" s="38" t="str">
        <f aca="false">IF(OR(B57="",C57=""),"",ROUND((IF(C57&lt;1,INT(B57)+C57,C57)-B57)*1440,0)/1440)</f>
        <v/>
      </c>
      <c r="E57" s="39" t="str">
        <f aca="false">IF(D57="","",IF(D57&lt;0,"打日期",IF(D57*1440&lt;=120,"J+2",IF(D57*1440&lt;=240,"J+4",IF(D57*1440&lt;=360,"J+6",IF(D57*1440&lt;=480,"J+8","8以上"))))))</f>
        <v/>
      </c>
    </row>
    <row r="58" customFormat="false" ht="75" hidden="false" customHeight="true" outlineLevel="0" collapsed="false">
      <c r="A58" s="40" t="s">
        <v>37</v>
      </c>
      <c r="B58" s="40"/>
      <c r="C58" s="40"/>
      <c r="D58" s="40"/>
      <c r="E58" s="40"/>
    </row>
    <row r="60" customFormat="false" ht="21" hidden="false" customHeight="true" outlineLevel="0" collapsed="false">
      <c r="A60" s="41" t="s">
        <v>35</v>
      </c>
      <c r="C60" s="41" t="s">
        <v>28</v>
      </c>
    </row>
    <row r="61" customFormat="false" ht="39.75" hidden="false" customHeight="true" outlineLevel="0" collapsed="false">
      <c r="A61" s="33" t="str">
        <f aca="false">"中和郵務股"&amp;'11'!$G$2&amp;'11'!$H$2&amp;"份 轉口 快捷郵遞時效表"</f>
        <v>中和郵務股115年11月份 轉口 快捷郵遞時效表</v>
      </c>
      <c r="B61" s="33"/>
      <c r="C61" s="33"/>
      <c r="D61" s="33"/>
      <c r="E61" s="33"/>
    </row>
    <row r="62" customFormat="false" ht="30" hidden="false" customHeight="true" outlineLevel="0" collapsed="false">
      <c r="A62" s="34" t="s">
        <v>29</v>
      </c>
      <c r="B62" s="34" t="s">
        <v>30</v>
      </c>
      <c r="C62" s="34" t="s">
        <v>31</v>
      </c>
      <c r="D62" s="34" t="s">
        <v>32</v>
      </c>
      <c r="E62" s="34" t="s">
        <v>33</v>
      </c>
    </row>
    <row r="63" customFormat="false" ht="30" hidden="false" customHeight="true" outlineLevel="0" collapsed="false">
      <c r="A63" s="35"/>
      <c r="B63" s="36"/>
      <c r="C63" s="37"/>
      <c r="D63" s="38" t="str">
        <f aca="false">IF(OR(B63="",C63=""),"",ROUND((IF(C63&lt;1,INT(B63)+C63,C63)-B63)*1440,0)/1440)</f>
        <v/>
      </c>
      <c r="E63" s="39" t="str">
        <f aca="false">IF(D63="","",IF(D63&lt;0,"打日期",IF(D63*1440&lt;=120,"J+2",IF(D63*1440&lt;=240,"J+4",IF(D63*1440&lt;=360,"J+6",IF(D63*1440&lt;=480,"J+8","8以上"))))))</f>
        <v/>
      </c>
    </row>
    <row r="64" customFormat="false" ht="30" hidden="false" customHeight="true" outlineLevel="0" collapsed="false">
      <c r="A64" s="35"/>
      <c r="B64" s="36"/>
      <c r="C64" s="37"/>
      <c r="D64" s="38" t="str">
        <f aca="false">IF(OR(B64="",C64=""),"",ROUND((IF(C64&lt;1,INT(B64)+C64,C64)-B64)*1440,0)/1440)</f>
        <v/>
      </c>
      <c r="E64" s="39" t="str">
        <f aca="false">IF(D64="","",IF(D64&lt;0,"打日期",IF(D64*1440&lt;=120,"J+2",IF(D64*1440&lt;=240,"J+4",IF(D64*1440&lt;=360,"J+6",IF(D64*1440&lt;=480,"J+8","8以上"))))))</f>
        <v/>
      </c>
    </row>
    <row r="65" customFormat="false" ht="30" hidden="false" customHeight="true" outlineLevel="0" collapsed="false">
      <c r="A65" s="35"/>
      <c r="B65" s="36"/>
      <c r="C65" s="37"/>
      <c r="D65" s="38" t="str">
        <f aca="false">IF(OR(B65="",C65=""),"",ROUND((IF(C65&lt;1,INT(B65)+C65,C65)-B65)*1440,0)/1440)</f>
        <v/>
      </c>
      <c r="E65" s="39" t="str">
        <f aca="false">IF(D65="","",IF(D65&lt;0,"打日期",IF(D65*1440&lt;=120,"J+2",IF(D65*1440&lt;=240,"J+4",IF(D65*1440&lt;=360,"J+6",IF(D65*1440&lt;=480,"J+8","8以上"))))))</f>
        <v/>
      </c>
    </row>
    <row r="66" customFormat="false" ht="30" hidden="false" customHeight="true" outlineLevel="0" collapsed="false">
      <c r="A66" s="35"/>
      <c r="B66" s="36"/>
      <c r="C66" s="37"/>
      <c r="D66" s="38" t="str">
        <f aca="false">IF(OR(B66="",C66=""),"",ROUND((IF(C66&lt;1,INT(B66)+C66,C66)-B66)*1440,0)/1440)</f>
        <v/>
      </c>
      <c r="E66" s="39" t="str">
        <f aca="false">IF(D66="","",IF(D66&lt;0,"打日期",IF(D66*1440&lt;=120,"J+2",IF(D66*1440&lt;=240,"J+4",IF(D66*1440&lt;=360,"J+6",IF(D66*1440&lt;=480,"J+8","8以上"))))))</f>
        <v/>
      </c>
    </row>
    <row r="67" customFormat="false" ht="30" hidden="false" customHeight="true" outlineLevel="0" collapsed="false">
      <c r="A67" s="35"/>
      <c r="B67" s="36"/>
      <c r="C67" s="37"/>
      <c r="D67" s="38" t="str">
        <f aca="false">IF(OR(B67="",C67=""),"",ROUND((IF(C67&lt;1,INT(B67)+C67,C67)-B67)*1440,0)/1440)</f>
        <v/>
      </c>
      <c r="E67" s="39" t="str">
        <f aca="false">IF(D67="","",IF(D67&lt;0,"打日期",IF(D67*1440&lt;=120,"J+2",IF(D67*1440&lt;=240,"J+4",IF(D67*1440&lt;=360,"J+6",IF(D67*1440&lt;=480,"J+8","8以上"))))))</f>
        <v/>
      </c>
    </row>
    <row r="68" customFormat="false" ht="30" hidden="false" customHeight="true" outlineLevel="0" collapsed="false">
      <c r="A68" s="35"/>
      <c r="B68" s="36"/>
      <c r="C68" s="37"/>
      <c r="D68" s="38" t="str">
        <f aca="false">IF(OR(B68="",C68=""),"",ROUND((IF(C68&lt;1,INT(B68)+C68,C68)-B68)*1440,0)/1440)</f>
        <v/>
      </c>
      <c r="E68" s="39" t="str">
        <f aca="false">IF(D68="","",IF(D68&lt;0,"打日期",IF(D68*1440&lt;=120,"J+2",IF(D68*1440&lt;=240,"J+4",IF(D68*1440&lt;=360,"J+6",IF(D68*1440&lt;=480,"J+8","8以上"))))))</f>
        <v/>
      </c>
    </row>
    <row r="69" customFormat="false" ht="30" hidden="false" customHeight="true" outlineLevel="0" collapsed="false">
      <c r="A69" s="35"/>
      <c r="B69" s="36"/>
      <c r="C69" s="37"/>
      <c r="D69" s="38" t="str">
        <f aca="false">IF(OR(B69="",C69=""),"",ROUND((IF(C69&lt;1,INT(B69)+C69,C69)-B69)*1440,0)/1440)</f>
        <v/>
      </c>
      <c r="E69" s="39" t="str">
        <f aca="false">IF(D69="","",IF(D69&lt;0,"打日期",IF(D69*1440&lt;=120,"J+2",IF(D69*1440&lt;=240,"J+4",IF(D69*1440&lt;=360,"J+6",IF(D69*1440&lt;=480,"J+8","8以上"))))))</f>
        <v/>
      </c>
    </row>
    <row r="70" customFormat="false" ht="30" hidden="false" customHeight="true" outlineLevel="0" collapsed="false">
      <c r="A70" s="35"/>
      <c r="B70" s="36"/>
      <c r="C70" s="37"/>
      <c r="D70" s="38" t="str">
        <f aca="false">IF(OR(B70="",C70=""),"",ROUND((IF(C70&lt;1,INT(B70)+C70,C70)-B70)*1440,0)/1440)</f>
        <v/>
      </c>
      <c r="E70" s="39" t="str">
        <f aca="false">IF(D70="","",IF(D70&lt;0,"打日期",IF(D70*1440&lt;=120,"J+2",IF(D70*1440&lt;=240,"J+4",IF(D70*1440&lt;=360,"J+6",IF(D70*1440&lt;=480,"J+8","8以上"))))))</f>
        <v/>
      </c>
    </row>
    <row r="71" customFormat="false" ht="30" hidden="false" customHeight="true" outlineLevel="0" collapsed="false">
      <c r="A71" s="35"/>
      <c r="B71" s="36"/>
      <c r="C71" s="37"/>
      <c r="D71" s="38" t="str">
        <f aca="false">IF(OR(B71="",C71=""),"",ROUND((IF(C71&lt;1,INT(B71)+C71,C71)-B71)*1440,0)/1440)</f>
        <v/>
      </c>
      <c r="E71" s="39" t="str">
        <f aca="false">IF(D71="","",IF(D71&lt;0,"打日期",IF(D71*1440&lt;=120,"J+2",IF(D71*1440&lt;=240,"J+4",IF(D71*1440&lt;=360,"J+6",IF(D71*1440&lt;=480,"J+8","8以上"))))))</f>
        <v/>
      </c>
    </row>
    <row r="72" customFormat="false" ht="30" hidden="false" customHeight="true" outlineLevel="0" collapsed="false">
      <c r="A72" s="35"/>
      <c r="B72" s="36"/>
      <c r="C72" s="37"/>
      <c r="D72" s="38" t="str">
        <f aca="false">IF(OR(B72="",C72=""),"",ROUND((IF(C72&lt;1,INT(B72)+C72,C72)-B72)*1440,0)/1440)</f>
        <v/>
      </c>
      <c r="E72" s="39" t="str">
        <f aca="false">IF(D72="","",IF(D72&lt;0,"打日期",IF(D72*1440&lt;=120,"J+2",IF(D72*1440&lt;=240,"J+4",IF(D72*1440&lt;=360,"J+6",IF(D72*1440&lt;=480,"J+8","8以上"))))))</f>
        <v/>
      </c>
    </row>
    <row r="73" customFormat="false" ht="30" hidden="false" customHeight="true" outlineLevel="0" collapsed="false">
      <c r="A73" s="35"/>
      <c r="B73" s="36"/>
      <c r="C73" s="37"/>
      <c r="D73" s="38" t="str">
        <f aca="false">IF(OR(B73="",C73=""),"",ROUND((IF(C73&lt;1,INT(B73)+C73,C73)-B73)*1440,0)/1440)</f>
        <v/>
      </c>
      <c r="E73" s="39" t="str">
        <f aca="false">IF(D73="","",IF(D73&lt;0,"打日期",IF(D73*1440&lt;=120,"J+2",IF(D73*1440&lt;=240,"J+4",IF(D73*1440&lt;=360,"J+6",IF(D73*1440&lt;=480,"J+8","8以上"))))))</f>
        <v/>
      </c>
    </row>
    <row r="74" customFormat="false" ht="30" hidden="false" customHeight="true" outlineLevel="0" collapsed="false">
      <c r="A74" s="35"/>
      <c r="B74" s="36"/>
      <c r="C74" s="37"/>
      <c r="D74" s="38" t="str">
        <f aca="false">IF(OR(B74="",C74=""),"",ROUND((IF(C74&lt;1,INT(B74)+C74,C74)-B74)*1440,0)/1440)</f>
        <v/>
      </c>
      <c r="E74" s="39" t="str">
        <f aca="false">IF(D74="","",IF(D74&lt;0,"打日期",IF(D74*1440&lt;=120,"J+2",IF(D74*1440&lt;=240,"J+4",IF(D74*1440&lt;=360,"J+6",IF(D74*1440&lt;=480,"J+8","8以上"))))))</f>
        <v/>
      </c>
    </row>
    <row r="75" customFormat="false" ht="30" hidden="false" customHeight="true" outlineLevel="0" collapsed="false">
      <c r="A75" s="35"/>
      <c r="B75" s="36"/>
      <c r="C75" s="37"/>
      <c r="D75" s="38" t="str">
        <f aca="false">IF(OR(B75="",C75=""),"",ROUND((IF(C75&lt;1,INT(B75)+C75,C75)-B75)*1440,0)/1440)</f>
        <v/>
      </c>
      <c r="E75" s="39" t="str">
        <f aca="false">IF(D75="","",IF(D75&lt;0,"打日期",IF(D75*1440&lt;=120,"J+2",IF(D75*1440&lt;=240,"J+4",IF(D75*1440&lt;=360,"J+6",IF(D75*1440&lt;=480,"J+8","8以上"))))))</f>
        <v/>
      </c>
    </row>
    <row r="76" customFormat="false" ht="30" hidden="false" customHeight="true" outlineLevel="0" collapsed="false">
      <c r="A76" s="35"/>
      <c r="B76" s="36"/>
      <c r="C76" s="37"/>
      <c r="D76" s="38" t="str">
        <f aca="false">IF(OR(B76="",C76=""),"",ROUND((IF(C76&lt;1,INT(B76)+C76,C76)-B76)*1440,0)/1440)</f>
        <v/>
      </c>
      <c r="E76" s="39" t="str">
        <f aca="false">IF(D76="","",IF(D76&lt;0,"打日期",IF(D76*1440&lt;=120,"J+2",IF(D76*1440&lt;=240,"J+4",IF(D76*1440&lt;=360,"J+6",IF(D76*1440&lt;=480,"J+8","8以上"))))))</f>
        <v/>
      </c>
    </row>
    <row r="77" customFormat="false" ht="30" hidden="false" customHeight="true" outlineLevel="0" collapsed="false">
      <c r="A77" s="35"/>
      <c r="B77" s="36"/>
      <c r="C77" s="37"/>
      <c r="D77" s="38" t="str">
        <f aca="false">IF(OR(B77="",C77=""),"",ROUND((IF(C77&lt;1,INT(B77)+C77,C77)-B77)*1440,0)/1440)</f>
        <v/>
      </c>
      <c r="E77" s="39" t="str">
        <f aca="false">IF(D77="","",IF(D77&lt;0,"打日期",IF(D77*1440&lt;=120,"J+2",IF(D77*1440&lt;=240,"J+4",IF(D77*1440&lt;=360,"J+6",IF(D77*1440&lt;=480,"J+8","8以上"))))))</f>
        <v/>
      </c>
    </row>
    <row r="78" customFormat="false" ht="75" hidden="false" customHeight="true" outlineLevel="0" collapsed="false">
      <c r="A78" s="40" t="s">
        <v>38</v>
      </c>
      <c r="B78" s="40"/>
      <c r="C78" s="40"/>
      <c r="D78" s="40"/>
      <c r="E78" s="40"/>
    </row>
    <row r="80" customFormat="false" ht="21" hidden="false" customHeight="true" outlineLevel="0" collapsed="false">
      <c r="A80" s="41" t="s">
        <v>35</v>
      </c>
      <c r="C80" s="41" t="s">
        <v>28</v>
      </c>
    </row>
  </sheetData>
  <mergeCells count="8">
    <mergeCell ref="A1:E1"/>
    <mergeCell ref="A18:E18"/>
    <mergeCell ref="A21:E21"/>
    <mergeCell ref="A38:E38"/>
    <mergeCell ref="A41:E41"/>
    <mergeCell ref="A58:E58"/>
    <mergeCell ref="A61:E61"/>
    <mergeCell ref="A78:E78"/>
  </mergeCells>
  <printOptions headings="false" gridLines="false" gridLinesSet="true" horizontalCentered="true" verticalCentered="false"/>
  <pageMargins left="0.5" right="0.5" top="0.5" bottom="0.5" header="0.511811023622047" footer="0.511811023622047"/>
  <pageSetup paperSize="9" scale="9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3" manualBreakCount="3">
    <brk id="20" man="true" max="16383" min="0"/>
    <brk id="40" man="true" max="16383" min="0"/>
    <brk id="60" man="true" max="16383" min="0"/>
  </rowBreak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true"/>
  </sheetPr>
  <dimension ref="A1:O1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G2" activeCellId="0" sqref="G2"/>
    </sheetView>
  </sheetViews>
  <sheetFormatPr defaultColWidth="8.87890625" defaultRowHeight="16.5" zeroHeight="false" outlineLevelRow="0" outlineLevelCol="0"/>
  <cols>
    <col collapsed="false" customWidth="true" hidden="false" outlineLevel="0" max="1" min="1" style="1" width="2.75"/>
    <col collapsed="false" customWidth="true" hidden="false" outlineLevel="0" max="2" min="2" style="1" width="21.5"/>
    <col collapsed="false" customWidth="true" hidden="false" outlineLevel="0" max="15" min="3" style="1" width="11"/>
    <col collapsed="false" customWidth="false" hidden="false" outlineLevel="0" max="16384" min="16" style="1" width="8.88"/>
  </cols>
  <sheetData>
    <row r="1" customFormat="false" ht="43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43.5" hidden="false" customHeight="true" outlineLevel="0" collapsed="false">
      <c r="A2" s="3"/>
      <c r="F2" s="4"/>
      <c r="G2" s="5" t="str">
        <f aca="false">'01'!G2</f>
        <v>115年</v>
      </c>
      <c r="H2" s="6" t="s">
        <v>116</v>
      </c>
      <c r="I2" s="4"/>
    </row>
    <row r="3" customFormat="false" ht="48.75" hidden="false" customHeight="true" outlineLevel="0" collapsed="false">
      <c r="A3" s="7" t="s">
        <v>3</v>
      </c>
      <c r="B3" s="7"/>
      <c r="C3" s="8" t="s">
        <v>4</v>
      </c>
      <c r="D3" s="9" t="s">
        <v>5</v>
      </c>
      <c r="E3" s="10" t="s">
        <v>6</v>
      </c>
      <c r="F3" s="9" t="s">
        <v>7</v>
      </c>
      <c r="G3" s="10" t="s">
        <v>8</v>
      </c>
      <c r="H3" s="9" t="s">
        <v>9</v>
      </c>
      <c r="I3" s="10" t="s">
        <v>10</v>
      </c>
      <c r="J3" s="9" t="s">
        <v>11</v>
      </c>
      <c r="K3" s="10" t="s">
        <v>12</v>
      </c>
      <c r="L3" s="9" t="s">
        <v>13</v>
      </c>
      <c r="M3" s="10" t="s">
        <v>14</v>
      </c>
      <c r="N3" s="11" t="s">
        <v>15</v>
      </c>
      <c r="O3" s="8" t="s">
        <v>16</v>
      </c>
    </row>
    <row r="4" customFormat="false" ht="50.25" hidden="false" customHeight="true" outlineLevel="0" collapsed="false">
      <c r="A4" s="12" t="s">
        <v>17</v>
      </c>
      <c r="B4" s="12"/>
      <c r="C4" s="13" t="n">
        <f aca="false">D4+F4+H4+J4+L4</f>
        <v>0</v>
      </c>
      <c r="D4" s="14" t="n">
        <f aca="false">COUNTIF(12子本!$E$3:$E$17,"J+2")</f>
        <v>0</v>
      </c>
      <c r="E4" s="15" t="str">
        <f aca="false">IF($C4=0,"",D4/$C4)</f>
        <v/>
      </c>
      <c r="F4" s="14" t="n">
        <f aca="false">COUNTIF(12子本!$E$3:$E$17,"J+4")</f>
        <v>0</v>
      </c>
      <c r="G4" s="15" t="str">
        <f aca="false">IF($C4=0,"",F4/$C4)</f>
        <v/>
      </c>
      <c r="H4" s="14" t="n">
        <f aca="false">COUNTIF(12子本!$E$3:$E$17,"J+6")</f>
        <v>0</v>
      </c>
      <c r="I4" s="15" t="str">
        <f aca="false">IF($C4=0,"",H4/$C4)</f>
        <v/>
      </c>
      <c r="J4" s="14" t="n">
        <f aca="false">COUNTIF(12子本!$E$3:$E$17,"J+8")</f>
        <v>0</v>
      </c>
      <c r="K4" s="15" t="str">
        <f aca="false">IF($C4=0,"",J4/$C4)</f>
        <v/>
      </c>
      <c r="L4" s="14" t="n">
        <f aca="false">COUNTIF(12子本!$E$3:$E$17,"8以上")</f>
        <v>0</v>
      </c>
      <c r="M4" s="15" t="str">
        <f aca="false">IF($C4=0,"",L4/$C4)</f>
        <v/>
      </c>
      <c r="N4" s="16" t="n">
        <v>1</v>
      </c>
      <c r="O4" s="17" t="str">
        <f aca="false">IF($C4=0,"",(D4*2+F4*4+H4*6+J4*8+L4*8)/$C4)</f>
        <v/>
      </c>
    </row>
    <row r="5" customFormat="false" ht="50.25" hidden="false" customHeight="true" outlineLevel="0" collapsed="false">
      <c r="A5" s="12" t="s">
        <v>18</v>
      </c>
      <c r="B5" s="12"/>
      <c r="C5" s="13" t="n">
        <f aca="false">D5+F5+H5+J5+L5</f>
        <v>0</v>
      </c>
      <c r="D5" s="14" t="n">
        <f aca="false">COUNTIF(12子本!$E$23:$E$37,"J+2")</f>
        <v>0</v>
      </c>
      <c r="E5" s="15" t="str">
        <f aca="false">IF($C5=0,"",D5/$C5)</f>
        <v/>
      </c>
      <c r="F5" s="14" t="n">
        <f aca="false">COUNTIF(12子本!$E$23:$E$37,"J+4")</f>
        <v>0</v>
      </c>
      <c r="G5" s="15" t="str">
        <f aca="false">IF($C5=0,"",F5/$C5)</f>
        <v/>
      </c>
      <c r="H5" s="14" t="n">
        <f aca="false">COUNTIF(12子本!$E$23:$E$37,"J+6")</f>
        <v>0</v>
      </c>
      <c r="I5" s="15" t="str">
        <f aca="false">IF($C5=0,"",H5/$C5)</f>
        <v/>
      </c>
      <c r="J5" s="14" t="n">
        <f aca="false">COUNTIF(12子本!$E$23:$E$37,"J+8")</f>
        <v>0</v>
      </c>
      <c r="K5" s="15" t="str">
        <f aca="false">IF($C5=0,"",J5/$C5)</f>
        <v/>
      </c>
      <c r="L5" s="14" t="n">
        <f aca="false">COUNTIF(12子本!$E$23:$E$37,"8以上")</f>
        <v>0</v>
      </c>
      <c r="M5" s="15" t="str">
        <f aca="false">IF($C5=0,"",L5/$C5)</f>
        <v/>
      </c>
      <c r="N5" s="16" t="n">
        <v>1</v>
      </c>
      <c r="O5" s="17" t="str">
        <f aca="false">IF($C5=0,"",(D5*2+F5*4+H5*6+J5*8+L5*8)/$C5)</f>
        <v/>
      </c>
    </row>
    <row r="6" customFormat="false" ht="54.75" hidden="false" customHeight="true" outlineLevel="0" collapsed="false">
      <c r="A6" s="18" t="s">
        <v>19</v>
      </c>
      <c r="B6" s="18"/>
      <c r="C6" s="13" t="n">
        <f aca="false">D6+F6+H6+J6+L6</f>
        <v>0</v>
      </c>
      <c r="D6" s="14" t="n">
        <f aca="false">COUNTIF(12子本!$E$43:$E$57,"J+2")</f>
        <v>0</v>
      </c>
      <c r="E6" s="15" t="str">
        <f aca="false">IF($C6=0,"",D6/$C6)</f>
        <v/>
      </c>
      <c r="F6" s="14" t="n">
        <f aca="false">COUNTIF(12子本!$E$43:$E$57,"J+4")</f>
        <v>0</v>
      </c>
      <c r="G6" s="15" t="str">
        <f aca="false">IF($C6=0,"",F6/$C6)</f>
        <v/>
      </c>
      <c r="H6" s="14" t="n">
        <f aca="false">COUNTIF(12子本!$E$43:$E$57,"J+6")</f>
        <v>0</v>
      </c>
      <c r="I6" s="15" t="str">
        <f aca="false">IF($C6=0,"",H6/$C6)</f>
        <v/>
      </c>
      <c r="J6" s="14" t="n">
        <f aca="false">COUNTIF(12子本!$E$43:$E$57,"J+8")</f>
        <v>0</v>
      </c>
      <c r="K6" s="15" t="str">
        <f aca="false">IF($C6=0,"",J6/$C6)</f>
        <v/>
      </c>
      <c r="L6" s="14" t="n">
        <f aca="false">COUNTIF(12子本!$E$43:$E$57,"8以上")</f>
        <v>0</v>
      </c>
      <c r="M6" s="15" t="str">
        <f aca="false">IF($C6=0,"",L6/$C6)</f>
        <v/>
      </c>
      <c r="N6" s="16" t="n">
        <v>1</v>
      </c>
      <c r="O6" s="17" t="str">
        <f aca="false">IF($C6=0,"",(D6*2+F6*4+H6*6+J6*8+L6*8)/$C6)</f>
        <v/>
      </c>
    </row>
    <row r="7" customFormat="false" ht="50.25" hidden="false" customHeight="true" outlineLevel="0" collapsed="false">
      <c r="A7" s="19" t="s">
        <v>20</v>
      </c>
      <c r="B7" s="19"/>
      <c r="C7" s="13" t="n">
        <f aca="false">D7+F7+H7+J7+L7</f>
        <v>0</v>
      </c>
      <c r="D7" s="14" t="n">
        <f aca="false">COUNTIF(12子本!$E$63:$E$77,"J+2")</f>
        <v>0</v>
      </c>
      <c r="E7" s="15" t="str">
        <f aca="false">IF($C7=0,"",D7/$C7)</f>
        <v/>
      </c>
      <c r="F7" s="14" t="n">
        <f aca="false">COUNTIF(12子本!$E$63:$E$77,"J+4")</f>
        <v>0</v>
      </c>
      <c r="G7" s="15" t="str">
        <f aca="false">IF($C7=0,"",F7/$C7)</f>
        <v/>
      </c>
      <c r="H7" s="14" t="n">
        <f aca="false">COUNTIF(12子本!$E$63:$E$77,"J+6")</f>
        <v>0</v>
      </c>
      <c r="I7" s="15" t="str">
        <f aca="false">IF($C7=0,"",H7/$C7)</f>
        <v/>
      </c>
      <c r="J7" s="14" t="n">
        <f aca="false">COUNTIF(12子本!$E$63:$E$77,"J+8")</f>
        <v>0</v>
      </c>
      <c r="K7" s="15" t="str">
        <f aca="false">IF($C7=0,"",J7/$C7)</f>
        <v/>
      </c>
      <c r="L7" s="14" t="n">
        <f aca="false">COUNTIF(12子本!$E$63:$E$77,"8以上")</f>
        <v>0</v>
      </c>
      <c r="M7" s="15" t="str">
        <f aca="false">IF($C7=0,"",L7/$C7)</f>
        <v/>
      </c>
      <c r="N7" s="20" t="n">
        <v>1</v>
      </c>
      <c r="O7" s="17" t="str">
        <f aca="false">IF($C7=0,"",(D7*2+F7*4+H7*6+J7*8+L7*8)/$C7)</f>
        <v/>
      </c>
    </row>
    <row r="8" customFormat="false" ht="21" hidden="false" customHeight="true" outlineLevel="0" collapsed="false">
      <c r="A8" s="21" t="s">
        <v>21</v>
      </c>
      <c r="B8" s="21"/>
      <c r="C8" s="22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</row>
    <row r="9" customFormat="false" ht="60.75" hidden="false" customHeight="true" outlineLevel="0" collapsed="false">
      <c r="A9" s="24" t="n">
        <v>1</v>
      </c>
      <c r="B9" s="25" t="s">
        <v>22</v>
      </c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</row>
    <row r="10" customFormat="false" ht="21" hidden="false" customHeight="true" outlineLevel="0" collapsed="false">
      <c r="A10" s="24" t="n">
        <v>2</v>
      </c>
      <c r="B10" s="26" t="s">
        <v>23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</row>
    <row r="11" customFormat="false" ht="39" hidden="false" customHeight="true" outlineLevel="0" collapsed="false">
      <c r="A11" s="24" t="n">
        <v>3</v>
      </c>
      <c r="B11" s="25" t="s">
        <v>24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customFormat="false" ht="39.75" hidden="false" customHeight="true" outlineLevel="0" collapsed="false">
      <c r="A12" s="24" t="n">
        <v>4</v>
      </c>
      <c r="B12" s="25" t="s">
        <v>25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</row>
    <row r="13" customFormat="false" ht="40.5" hidden="false" customHeight="true" outlineLevel="0" collapsed="false">
      <c r="A13" s="24" t="n">
        <v>5</v>
      </c>
      <c r="B13" s="25" t="s">
        <v>26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</row>
    <row r="14" customFormat="false" ht="21" hidden="false" customHeight="true" outlineLevel="0" collapsed="false">
      <c r="B14" s="27" t="s">
        <v>27</v>
      </c>
      <c r="C14" s="27"/>
      <c r="D14" s="28"/>
      <c r="E14" s="28"/>
      <c r="F14" s="29" t="s">
        <v>28</v>
      </c>
      <c r="G14" s="29"/>
      <c r="H14" s="30"/>
      <c r="I14" s="30"/>
      <c r="J14" s="31"/>
      <c r="K14" s="31"/>
      <c r="O14" s="28"/>
    </row>
  </sheetData>
  <mergeCells count="12">
    <mergeCell ref="A1:M1"/>
    <mergeCell ref="A3:B3"/>
    <mergeCell ref="A4:B4"/>
    <mergeCell ref="A5:B5"/>
    <mergeCell ref="A6:B6"/>
    <mergeCell ref="A7:B7"/>
    <mergeCell ref="A8:B8"/>
    <mergeCell ref="B9:O9"/>
    <mergeCell ref="B10:O10"/>
    <mergeCell ref="B11:O11"/>
    <mergeCell ref="B12:O12"/>
    <mergeCell ref="B13:O13"/>
  </mergeCells>
  <printOptions headings="false" gridLines="false" gridLinesSet="true" horizontalCentered="true" verticalCentered="true"/>
  <pageMargins left="0.157638888888889" right="0.551388888888889" top="0.196527777777778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E5CC"/>
    <pageSetUpPr fitToPage="false"/>
  </sheetPr>
  <dimension ref="A1:E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" defaultRowHeight="21" zeroHeight="false" outlineLevelRow="0" outlineLevelCol="0"/>
  <cols>
    <col collapsed="false" customWidth="true" hidden="false" outlineLevel="0" max="1" min="1" style="32" width="34.63"/>
    <col collapsed="false" customWidth="true" hidden="false" outlineLevel="0" max="3" min="2" style="32" width="17.63"/>
    <col collapsed="false" customWidth="true" hidden="false" outlineLevel="0" max="5" min="4" style="32" width="9.63"/>
    <col collapsed="false" customWidth="false" hidden="false" outlineLevel="0" max="16384" min="6" style="32" width="9"/>
  </cols>
  <sheetData>
    <row r="1" customFormat="false" ht="39.75" hidden="false" customHeight="true" outlineLevel="0" collapsed="false">
      <c r="A1" s="33" t="str">
        <f aca="false">"中和郵務股"&amp;'12'!$G$2&amp;'12'!$H$2&amp;"份 本口 快捷郵遞時效表"</f>
        <v>中和郵務股115年12月份 本口 快捷郵遞時效表</v>
      </c>
      <c r="B1" s="33"/>
      <c r="C1" s="33"/>
      <c r="D1" s="33"/>
      <c r="E1" s="33"/>
    </row>
    <row r="2" customFormat="false" ht="30" hidden="false" customHeight="true" outlineLevel="0" collapsed="false">
      <c r="A2" s="34" t="s">
        <v>29</v>
      </c>
      <c r="B2" s="34" t="s">
        <v>30</v>
      </c>
      <c r="C2" s="34" t="s">
        <v>31</v>
      </c>
      <c r="D2" s="34" t="s">
        <v>32</v>
      </c>
      <c r="E2" s="34" t="s">
        <v>33</v>
      </c>
    </row>
    <row r="3" customFormat="false" ht="30" hidden="false" customHeight="true" outlineLevel="0" collapsed="false">
      <c r="A3" s="35"/>
      <c r="B3" s="36"/>
      <c r="C3" s="37"/>
      <c r="D3" s="38" t="str">
        <f aca="false">IF(OR(B3="",C3=""),"",ROUND((IF(C3&lt;1,INT(B3)+C3,C3)-B3)*1440,0)/1440)</f>
        <v/>
      </c>
      <c r="E3" s="39" t="str">
        <f aca="false">IF(D3="","",IF(D3&lt;0,"打日期",IF(D3*1440&lt;=120,"J+2",IF(D3*1440&lt;=240,"J+4",IF(D3*1440&lt;=360,"J+6",IF(D3*1440&lt;=480,"J+8","8以上"))))))</f>
        <v/>
      </c>
    </row>
    <row r="4" customFormat="false" ht="30" hidden="false" customHeight="true" outlineLevel="0" collapsed="false">
      <c r="A4" s="35"/>
      <c r="B4" s="36"/>
      <c r="C4" s="37"/>
      <c r="D4" s="38" t="str">
        <f aca="false">IF(OR(B4="",C4=""),"",ROUND((IF(C4&lt;1,INT(B4)+C4,C4)-B4)*1440,0)/1440)</f>
        <v/>
      </c>
      <c r="E4" s="39" t="str">
        <f aca="false">IF(D4="","",IF(D4&lt;0,"打日期",IF(D4*1440&lt;=120,"J+2",IF(D4*1440&lt;=240,"J+4",IF(D4*1440&lt;=360,"J+6",IF(D4*1440&lt;=480,"J+8","8以上"))))))</f>
        <v/>
      </c>
    </row>
    <row r="5" customFormat="false" ht="30" hidden="false" customHeight="true" outlineLevel="0" collapsed="false">
      <c r="A5" s="35"/>
      <c r="B5" s="36"/>
      <c r="C5" s="37"/>
      <c r="D5" s="38" t="str">
        <f aca="false">IF(OR(B5="",C5=""),"",ROUND((IF(C5&lt;1,INT(B5)+C5,C5)-B5)*1440,0)/1440)</f>
        <v/>
      </c>
      <c r="E5" s="39" t="str">
        <f aca="false">IF(D5="","",IF(D5&lt;0,"打日期",IF(D5*1440&lt;=120,"J+2",IF(D5*1440&lt;=240,"J+4",IF(D5*1440&lt;=360,"J+6",IF(D5*1440&lt;=480,"J+8","8以上"))))))</f>
        <v/>
      </c>
    </row>
    <row r="6" customFormat="false" ht="30" hidden="false" customHeight="true" outlineLevel="0" collapsed="false">
      <c r="A6" s="35"/>
      <c r="B6" s="36"/>
      <c r="C6" s="37"/>
      <c r="D6" s="38" t="str">
        <f aca="false">IF(OR(B6="",C6=""),"",ROUND((IF(C6&lt;1,INT(B6)+C6,C6)-B6)*1440,0)/1440)</f>
        <v/>
      </c>
      <c r="E6" s="39" t="str">
        <f aca="false">IF(D6="","",IF(D6&lt;0,"打日期",IF(D6*1440&lt;=120,"J+2",IF(D6*1440&lt;=240,"J+4",IF(D6*1440&lt;=360,"J+6",IF(D6*1440&lt;=480,"J+8","8以上"))))))</f>
        <v/>
      </c>
    </row>
    <row r="7" customFormat="false" ht="30" hidden="false" customHeight="true" outlineLevel="0" collapsed="false">
      <c r="A7" s="35"/>
      <c r="B7" s="36"/>
      <c r="C7" s="37"/>
      <c r="D7" s="38" t="str">
        <f aca="false">IF(OR(B7="",C7=""),"",ROUND((IF(C7&lt;1,INT(B7)+C7,C7)-B7)*1440,0)/1440)</f>
        <v/>
      </c>
      <c r="E7" s="39" t="str">
        <f aca="false">IF(D7="","",IF(D7&lt;0,"打日期",IF(D7*1440&lt;=120,"J+2",IF(D7*1440&lt;=240,"J+4",IF(D7*1440&lt;=360,"J+6",IF(D7*1440&lt;=480,"J+8","8以上"))))))</f>
        <v/>
      </c>
    </row>
    <row r="8" customFormat="false" ht="30" hidden="false" customHeight="true" outlineLevel="0" collapsed="false">
      <c r="A8" s="35"/>
      <c r="B8" s="36"/>
      <c r="C8" s="37"/>
      <c r="D8" s="38" t="str">
        <f aca="false">IF(OR(B8="",C8=""),"",ROUND((IF(C8&lt;1,INT(B8)+C8,C8)-B8)*1440,0)/1440)</f>
        <v/>
      </c>
      <c r="E8" s="39" t="str">
        <f aca="false">IF(D8="","",IF(D8&lt;0,"打日期",IF(D8*1440&lt;=120,"J+2",IF(D8*1440&lt;=240,"J+4",IF(D8*1440&lt;=360,"J+6",IF(D8*1440&lt;=480,"J+8","8以上"))))))</f>
        <v/>
      </c>
    </row>
    <row r="9" customFormat="false" ht="30" hidden="false" customHeight="true" outlineLevel="0" collapsed="false">
      <c r="A9" s="35"/>
      <c r="B9" s="36"/>
      <c r="C9" s="37"/>
      <c r="D9" s="38" t="str">
        <f aca="false">IF(OR(B9="",C9=""),"",ROUND((IF(C9&lt;1,INT(B9)+C9,C9)-B9)*1440,0)/1440)</f>
        <v/>
      </c>
      <c r="E9" s="39" t="str">
        <f aca="false">IF(D9="","",IF(D9&lt;0,"打日期",IF(D9*1440&lt;=120,"J+2",IF(D9*1440&lt;=240,"J+4",IF(D9*1440&lt;=360,"J+6",IF(D9*1440&lt;=480,"J+8","8以上"))))))</f>
        <v/>
      </c>
    </row>
    <row r="10" customFormat="false" ht="30" hidden="false" customHeight="true" outlineLevel="0" collapsed="false">
      <c r="A10" s="35"/>
      <c r="B10" s="36"/>
      <c r="C10" s="37"/>
      <c r="D10" s="38" t="str">
        <f aca="false">IF(OR(B10="",C10=""),"",ROUND((IF(C10&lt;1,INT(B10)+C10,C10)-B10)*1440,0)/1440)</f>
        <v/>
      </c>
      <c r="E10" s="39" t="str">
        <f aca="false">IF(D10="","",IF(D10&lt;0,"打日期",IF(D10*1440&lt;=120,"J+2",IF(D10*1440&lt;=240,"J+4",IF(D10*1440&lt;=360,"J+6",IF(D10*1440&lt;=480,"J+8","8以上"))))))</f>
        <v/>
      </c>
    </row>
    <row r="11" customFormat="false" ht="30" hidden="false" customHeight="true" outlineLevel="0" collapsed="false">
      <c r="A11" s="35"/>
      <c r="B11" s="36"/>
      <c r="C11" s="37"/>
      <c r="D11" s="38" t="str">
        <f aca="false">IF(OR(B11="",C11=""),"",ROUND((IF(C11&lt;1,INT(B11)+C11,C11)-B11)*1440,0)/1440)</f>
        <v/>
      </c>
      <c r="E11" s="39" t="str">
        <f aca="false">IF(D11="","",IF(D11&lt;0,"打日期",IF(D11*1440&lt;=120,"J+2",IF(D11*1440&lt;=240,"J+4",IF(D11*1440&lt;=360,"J+6",IF(D11*1440&lt;=480,"J+8","8以上"))))))</f>
        <v/>
      </c>
    </row>
    <row r="12" customFormat="false" ht="30" hidden="false" customHeight="true" outlineLevel="0" collapsed="false">
      <c r="A12" s="35"/>
      <c r="B12" s="36"/>
      <c r="C12" s="37"/>
      <c r="D12" s="38" t="str">
        <f aca="false">IF(OR(B12="",C12=""),"",ROUND((IF(C12&lt;1,INT(B12)+C12,C12)-B12)*1440,0)/1440)</f>
        <v/>
      </c>
      <c r="E12" s="39" t="str">
        <f aca="false">IF(D12="","",IF(D12&lt;0,"打日期",IF(D12*1440&lt;=120,"J+2",IF(D12*1440&lt;=240,"J+4",IF(D12*1440&lt;=360,"J+6",IF(D12*1440&lt;=480,"J+8","8以上"))))))</f>
        <v/>
      </c>
    </row>
    <row r="13" customFormat="false" ht="30" hidden="false" customHeight="true" outlineLevel="0" collapsed="false">
      <c r="A13" s="35"/>
      <c r="B13" s="36"/>
      <c r="C13" s="37"/>
      <c r="D13" s="38" t="str">
        <f aca="false">IF(OR(B13="",C13=""),"",ROUND((IF(C13&lt;1,INT(B13)+C13,C13)-B13)*1440,0)/1440)</f>
        <v/>
      </c>
      <c r="E13" s="39" t="str">
        <f aca="false">IF(D13="","",IF(D13&lt;0,"打日期",IF(D13*1440&lt;=120,"J+2",IF(D13*1440&lt;=240,"J+4",IF(D13*1440&lt;=360,"J+6",IF(D13*1440&lt;=480,"J+8","8以上"))))))</f>
        <v/>
      </c>
    </row>
    <row r="14" customFormat="false" ht="30" hidden="false" customHeight="true" outlineLevel="0" collapsed="false">
      <c r="A14" s="35"/>
      <c r="B14" s="36"/>
      <c r="C14" s="37"/>
      <c r="D14" s="38" t="str">
        <f aca="false">IF(OR(B14="",C14=""),"",ROUND((IF(C14&lt;1,INT(B14)+C14,C14)-B14)*1440,0)/1440)</f>
        <v/>
      </c>
      <c r="E14" s="39" t="str">
        <f aca="false">IF(D14="","",IF(D14&lt;0,"打日期",IF(D14*1440&lt;=120,"J+2",IF(D14*1440&lt;=240,"J+4",IF(D14*1440&lt;=360,"J+6",IF(D14*1440&lt;=480,"J+8","8以上"))))))</f>
        <v/>
      </c>
    </row>
    <row r="15" customFormat="false" ht="30" hidden="false" customHeight="true" outlineLevel="0" collapsed="false">
      <c r="A15" s="35"/>
      <c r="B15" s="36"/>
      <c r="C15" s="37"/>
      <c r="D15" s="38" t="str">
        <f aca="false">IF(OR(B15="",C15=""),"",ROUND((IF(C15&lt;1,INT(B15)+C15,C15)-B15)*1440,0)/1440)</f>
        <v/>
      </c>
      <c r="E15" s="39" t="str">
        <f aca="false">IF(D15="","",IF(D15&lt;0,"打日期",IF(D15*1440&lt;=120,"J+2",IF(D15*1440&lt;=240,"J+4",IF(D15*1440&lt;=360,"J+6",IF(D15*1440&lt;=480,"J+8","8以上"))))))</f>
        <v/>
      </c>
    </row>
    <row r="16" customFormat="false" ht="30" hidden="false" customHeight="true" outlineLevel="0" collapsed="false">
      <c r="A16" s="35"/>
      <c r="B16" s="36"/>
      <c r="C16" s="37"/>
      <c r="D16" s="38" t="str">
        <f aca="false">IF(OR(B16="",C16=""),"",ROUND((IF(C16&lt;1,INT(B16)+C16,C16)-B16)*1440,0)/1440)</f>
        <v/>
      </c>
      <c r="E16" s="39" t="str">
        <f aca="false">IF(D16="","",IF(D16&lt;0,"打日期",IF(D16*1440&lt;=120,"J+2",IF(D16*1440&lt;=240,"J+4",IF(D16*1440&lt;=360,"J+6",IF(D16*1440&lt;=480,"J+8","8以上"))))))</f>
        <v/>
      </c>
    </row>
    <row r="17" customFormat="false" ht="30" hidden="false" customHeight="true" outlineLevel="0" collapsed="false">
      <c r="A17" s="35"/>
      <c r="B17" s="36"/>
      <c r="C17" s="37"/>
      <c r="D17" s="38" t="str">
        <f aca="false">IF(OR(B17="",C17=""),"",ROUND((IF(C17&lt;1,INT(B17)+C17,C17)-B17)*1440,0)/1440)</f>
        <v/>
      </c>
      <c r="E17" s="39" t="str">
        <f aca="false">IF(D17="","",IF(D17&lt;0,"打日期",IF(D17*1440&lt;=120,"J+2",IF(D17*1440&lt;=240,"J+4",IF(D17*1440&lt;=360,"J+6",IF(D17*1440&lt;=480,"J+8","8以上"))))))</f>
        <v/>
      </c>
    </row>
    <row r="18" customFormat="false" ht="75" hidden="false" customHeight="true" outlineLevel="0" collapsed="false">
      <c r="A18" s="40" t="s">
        <v>34</v>
      </c>
      <c r="B18" s="40"/>
      <c r="C18" s="40"/>
      <c r="D18" s="40"/>
      <c r="E18" s="40"/>
    </row>
    <row r="20" customFormat="false" ht="21" hidden="false" customHeight="true" outlineLevel="0" collapsed="false">
      <c r="A20" s="41" t="s">
        <v>35</v>
      </c>
      <c r="C20" s="41" t="s">
        <v>28</v>
      </c>
    </row>
    <row r="21" customFormat="false" ht="39.75" hidden="false" customHeight="true" outlineLevel="0" collapsed="false">
      <c r="A21" s="33" t="str">
        <f aca="false">"中和郵務股"&amp;'12'!$G$2&amp;'12'!$H$2&amp;"份 十大都會區 快捷郵遞時效表"</f>
        <v>中和郵務股115年12月份 十大都會區 快捷郵遞時效表</v>
      </c>
      <c r="B21" s="33"/>
      <c r="C21" s="33"/>
      <c r="D21" s="33"/>
      <c r="E21" s="33"/>
    </row>
    <row r="22" customFormat="false" ht="30" hidden="false" customHeight="true" outlineLevel="0" collapsed="false">
      <c r="A22" s="34" t="s">
        <v>29</v>
      </c>
      <c r="B22" s="34" t="s">
        <v>30</v>
      </c>
      <c r="C22" s="34" t="s">
        <v>31</v>
      </c>
      <c r="D22" s="34" t="s">
        <v>32</v>
      </c>
      <c r="E22" s="34" t="s">
        <v>33</v>
      </c>
    </row>
    <row r="23" customFormat="false" ht="30" hidden="false" customHeight="true" outlineLevel="0" collapsed="false">
      <c r="A23" s="35"/>
      <c r="B23" s="36"/>
      <c r="C23" s="37"/>
      <c r="D23" s="38" t="str">
        <f aca="false">IF(OR(B23="",C23=""),"",ROUND((IF(C23&lt;1,INT(B23)+C23,C23)-B23)*1440,0)/1440)</f>
        <v/>
      </c>
      <c r="E23" s="39" t="str">
        <f aca="false">IF(D23="","",IF(D23&lt;0,"打日期",IF(D23*1440&lt;=120,"J+2",IF(D23*1440&lt;=240,"J+4",IF(D23*1440&lt;=360,"J+6",IF(D23*1440&lt;=480,"J+8","8以上"))))))</f>
        <v/>
      </c>
    </row>
    <row r="24" customFormat="false" ht="30" hidden="false" customHeight="true" outlineLevel="0" collapsed="false">
      <c r="A24" s="35"/>
      <c r="B24" s="36"/>
      <c r="C24" s="37"/>
      <c r="D24" s="38" t="str">
        <f aca="false">IF(OR(B24="",C24=""),"",ROUND((IF(C24&lt;1,INT(B24)+C24,C24)-B24)*1440,0)/1440)</f>
        <v/>
      </c>
      <c r="E24" s="39" t="str">
        <f aca="false">IF(D24="","",IF(D24&lt;0,"打日期",IF(D24*1440&lt;=120,"J+2",IF(D24*1440&lt;=240,"J+4",IF(D24*1440&lt;=360,"J+6",IF(D24*1440&lt;=480,"J+8","8以上"))))))</f>
        <v/>
      </c>
    </row>
    <row r="25" customFormat="false" ht="30" hidden="false" customHeight="true" outlineLevel="0" collapsed="false">
      <c r="A25" s="35"/>
      <c r="B25" s="36"/>
      <c r="C25" s="37"/>
      <c r="D25" s="38" t="str">
        <f aca="false">IF(OR(B25="",C25=""),"",ROUND((IF(C25&lt;1,INT(B25)+C25,C25)-B25)*1440,0)/1440)</f>
        <v/>
      </c>
      <c r="E25" s="39" t="str">
        <f aca="false">IF(D25="","",IF(D25&lt;0,"打日期",IF(D25*1440&lt;=120,"J+2",IF(D25*1440&lt;=240,"J+4",IF(D25*1440&lt;=360,"J+6",IF(D25*1440&lt;=480,"J+8","8以上"))))))</f>
        <v/>
      </c>
    </row>
    <row r="26" customFormat="false" ht="30" hidden="false" customHeight="true" outlineLevel="0" collapsed="false">
      <c r="A26" s="35"/>
      <c r="B26" s="36"/>
      <c r="C26" s="37"/>
      <c r="D26" s="38" t="str">
        <f aca="false">IF(OR(B26="",C26=""),"",ROUND((IF(C26&lt;1,INT(B26)+C26,C26)-B26)*1440,0)/1440)</f>
        <v/>
      </c>
      <c r="E26" s="39" t="str">
        <f aca="false">IF(D26="","",IF(D26&lt;0,"打日期",IF(D26*1440&lt;=120,"J+2",IF(D26*1440&lt;=240,"J+4",IF(D26*1440&lt;=360,"J+6",IF(D26*1440&lt;=480,"J+8","8以上"))))))</f>
        <v/>
      </c>
    </row>
    <row r="27" customFormat="false" ht="30" hidden="false" customHeight="true" outlineLevel="0" collapsed="false">
      <c r="A27" s="35"/>
      <c r="B27" s="36"/>
      <c r="C27" s="37"/>
      <c r="D27" s="38" t="str">
        <f aca="false">IF(OR(B27="",C27=""),"",ROUND((IF(C27&lt;1,INT(B27)+C27,C27)-B27)*1440,0)/1440)</f>
        <v/>
      </c>
      <c r="E27" s="39" t="str">
        <f aca="false">IF(D27="","",IF(D27&lt;0,"打日期",IF(D27*1440&lt;=120,"J+2",IF(D27*1440&lt;=240,"J+4",IF(D27*1440&lt;=360,"J+6",IF(D27*1440&lt;=480,"J+8","8以上"))))))</f>
        <v/>
      </c>
    </row>
    <row r="28" customFormat="false" ht="30" hidden="false" customHeight="true" outlineLevel="0" collapsed="false">
      <c r="A28" s="35"/>
      <c r="B28" s="36"/>
      <c r="C28" s="37"/>
      <c r="D28" s="38" t="str">
        <f aca="false">IF(OR(B28="",C28=""),"",ROUND((IF(C28&lt;1,INT(B28)+C28,C28)-B28)*1440,0)/1440)</f>
        <v/>
      </c>
      <c r="E28" s="39" t="str">
        <f aca="false">IF(D28="","",IF(D28&lt;0,"打日期",IF(D28*1440&lt;=120,"J+2",IF(D28*1440&lt;=240,"J+4",IF(D28*1440&lt;=360,"J+6",IF(D28*1440&lt;=480,"J+8","8以上"))))))</f>
        <v/>
      </c>
    </row>
    <row r="29" customFormat="false" ht="30" hidden="false" customHeight="true" outlineLevel="0" collapsed="false">
      <c r="A29" s="35"/>
      <c r="B29" s="36"/>
      <c r="C29" s="37"/>
      <c r="D29" s="38" t="str">
        <f aca="false">IF(OR(B29="",C29=""),"",ROUND((IF(C29&lt;1,INT(B29)+C29,C29)-B29)*1440,0)/1440)</f>
        <v/>
      </c>
      <c r="E29" s="39" t="str">
        <f aca="false">IF(D29="","",IF(D29&lt;0,"打日期",IF(D29*1440&lt;=120,"J+2",IF(D29*1440&lt;=240,"J+4",IF(D29*1440&lt;=360,"J+6",IF(D29*1440&lt;=480,"J+8","8以上"))))))</f>
        <v/>
      </c>
    </row>
    <row r="30" customFormat="false" ht="30" hidden="false" customHeight="true" outlineLevel="0" collapsed="false">
      <c r="A30" s="35"/>
      <c r="B30" s="36"/>
      <c r="C30" s="37"/>
      <c r="D30" s="38" t="str">
        <f aca="false">IF(OR(B30="",C30=""),"",ROUND((IF(C30&lt;1,INT(B30)+C30,C30)-B30)*1440,0)/1440)</f>
        <v/>
      </c>
      <c r="E30" s="39" t="str">
        <f aca="false">IF(D30="","",IF(D30&lt;0,"打日期",IF(D30*1440&lt;=120,"J+2",IF(D30*1440&lt;=240,"J+4",IF(D30*1440&lt;=360,"J+6",IF(D30*1440&lt;=480,"J+8","8以上"))))))</f>
        <v/>
      </c>
    </row>
    <row r="31" customFormat="false" ht="30" hidden="false" customHeight="true" outlineLevel="0" collapsed="false">
      <c r="A31" s="35"/>
      <c r="B31" s="36"/>
      <c r="C31" s="37"/>
      <c r="D31" s="38" t="str">
        <f aca="false">IF(OR(B31="",C31=""),"",ROUND((IF(C31&lt;1,INT(B31)+C31,C31)-B31)*1440,0)/1440)</f>
        <v/>
      </c>
      <c r="E31" s="39" t="str">
        <f aca="false">IF(D31="","",IF(D31&lt;0,"打日期",IF(D31*1440&lt;=120,"J+2",IF(D31*1440&lt;=240,"J+4",IF(D31*1440&lt;=360,"J+6",IF(D31*1440&lt;=480,"J+8","8以上"))))))</f>
        <v/>
      </c>
    </row>
    <row r="32" customFormat="false" ht="30" hidden="false" customHeight="true" outlineLevel="0" collapsed="false">
      <c r="A32" s="35"/>
      <c r="B32" s="36"/>
      <c r="C32" s="37"/>
      <c r="D32" s="38" t="str">
        <f aca="false">IF(OR(B32="",C32=""),"",ROUND((IF(C32&lt;1,INT(B32)+C32,C32)-B32)*1440,0)/1440)</f>
        <v/>
      </c>
      <c r="E32" s="39" t="str">
        <f aca="false">IF(D32="","",IF(D32&lt;0,"打日期",IF(D32*1440&lt;=120,"J+2",IF(D32*1440&lt;=240,"J+4",IF(D32*1440&lt;=360,"J+6",IF(D32*1440&lt;=480,"J+8","8以上"))))))</f>
        <v/>
      </c>
    </row>
    <row r="33" customFormat="false" ht="30" hidden="false" customHeight="true" outlineLevel="0" collapsed="false">
      <c r="A33" s="35"/>
      <c r="B33" s="36"/>
      <c r="C33" s="37"/>
      <c r="D33" s="38" t="str">
        <f aca="false">IF(OR(B33="",C33=""),"",ROUND((IF(C33&lt;1,INT(B33)+C33,C33)-B33)*1440,0)/1440)</f>
        <v/>
      </c>
      <c r="E33" s="39" t="str">
        <f aca="false">IF(D33="","",IF(D33&lt;0,"打日期",IF(D33*1440&lt;=120,"J+2",IF(D33*1440&lt;=240,"J+4",IF(D33*1440&lt;=360,"J+6",IF(D33*1440&lt;=480,"J+8","8以上"))))))</f>
        <v/>
      </c>
    </row>
    <row r="34" customFormat="false" ht="30" hidden="false" customHeight="true" outlineLevel="0" collapsed="false">
      <c r="A34" s="35"/>
      <c r="B34" s="36"/>
      <c r="C34" s="37"/>
      <c r="D34" s="38" t="str">
        <f aca="false">IF(OR(B34="",C34=""),"",ROUND((IF(C34&lt;1,INT(B34)+C34,C34)-B34)*1440,0)/1440)</f>
        <v/>
      </c>
      <c r="E34" s="39" t="str">
        <f aca="false">IF(D34="","",IF(D34&lt;0,"打日期",IF(D34*1440&lt;=120,"J+2",IF(D34*1440&lt;=240,"J+4",IF(D34*1440&lt;=360,"J+6",IF(D34*1440&lt;=480,"J+8","8以上"))))))</f>
        <v/>
      </c>
    </row>
    <row r="35" customFormat="false" ht="30" hidden="false" customHeight="true" outlineLevel="0" collapsed="false">
      <c r="A35" s="35"/>
      <c r="B35" s="36"/>
      <c r="C35" s="37"/>
      <c r="D35" s="38" t="str">
        <f aca="false">IF(OR(B35="",C35=""),"",ROUND((IF(C35&lt;1,INT(B35)+C35,C35)-B35)*1440,0)/1440)</f>
        <v/>
      </c>
      <c r="E35" s="39" t="str">
        <f aca="false">IF(D35="","",IF(D35&lt;0,"打日期",IF(D35*1440&lt;=120,"J+2",IF(D35*1440&lt;=240,"J+4",IF(D35*1440&lt;=360,"J+6",IF(D35*1440&lt;=480,"J+8","8以上"))))))</f>
        <v/>
      </c>
    </row>
    <row r="36" customFormat="false" ht="30" hidden="false" customHeight="true" outlineLevel="0" collapsed="false">
      <c r="A36" s="35"/>
      <c r="B36" s="36"/>
      <c r="C36" s="37"/>
      <c r="D36" s="38" t="str">
        <f aca="false">IF(OR(B36="",C36=""),"",ROUND((IF(C36&lt;1,INT(B36)+C36,C36)-B36)*1440,0)/1440)</f>
        <v/>
      </c>
      <c r="E36" s="39" t="str">
        <f aca="false">IF(D36="","",IF(D36&lt;0,"打日期",IF(D36*1440&lt;=120,"J+2",IF(D36*1440&lt;=240,"J+4",IF(D36*1440&lt;=360,"J+6",IF(D36*1440&lt;=480,"J+8","8以上"))))))</f>
        <v/>
      </c>
    </row>
    <row r="37" customFormat="false" ht="30" hidden="false" customHeight="true" outlineLevel="0" collapsed="false">
      <c r="A37" s="35"/>
      <c r="B37" s="36"/>
      <c r="C37" s="37"/>
      <c r="D37" s="38" t="str">
        <f aca="false">IF(OR(B37="",C37=""),"",ROUND((IF(C37&lt;1,INT(B37)+C37,C37)-B37)*1440,0)/1440)</f>
        <v/>
      </c>
      <c r="E37" s="39" t="str">
        <f aca="false">IF(D37="","",IF(D37&lt;0,"打日期",IF(D37*1440&lt;=120,"J+2",IF(D37*1440&lt;=240,"J+4",IF(D37*1440&lt;=360,"J+6",IF(D37*1440&lt;=480,"J+8","8以上"))))))</f>
        <v/>
      </c>
    </row>
    <row r="38" customFormat="false" ht="75" hidden="false" customHeight="true" outlineLevel="0" collapsed="false">
      <c r="A38" s="40" t="s">
        <v>36</v>
      </c>
      <c r="B38" s="40"/>
      <c r="C38" s="40"/>
      <c r="D38" s="40"/>
      <c r="E38" s="40"/>
    </row>
    <row r="40" customFormat="false" ht="21" hidden="false" customHeight="true" outlineLevel="0" collapsed="false">
      <c r="A40" s="41" t="s">
        <v>35</v>
      </c>
      <c r="C40" s="41" t="s">
        <v>28</v>
      </c>
    </row>
    <row r="41" customFormat="false" ht="39.75" hidden="false" customHeight="true" outlineLevel="0" collapsed="false">
      <c r="A41" s="33" t="str">
        <f aca="false">"中和郵務股"&amp;'12'!$G$2&amp;'12'!$H$2&amp;"份 區域內互寄 快捷郵遞時效表"</f>
        <v>中和郵務股115年12月份 區域內互寄 快捷郵遞時效表</v>
      </c>
      <c r="B41" s="33"/>
      <c r="C41" s="33"/>
      <c r="D41" s="33"/>
      <c r="E41" s="33"/>
    </row>
    <row r="42" customFormat="false" ht="30" hidden="false" customHeight="true" outlineLevel="0" collapsed="false">
      <c r="A42" s="34" t="s">
        <v>29</v>
      </c>
      <c r="B42" s="34" t="s">
        <v>30</v>
      </c>
      <c r="C42" s="34" t="s">
        <v>31</v>
      </c>
      <c r="D42" s="34" t="s">
        <v>32</v>
      </c>
      <c r="E42" s="34" t="s">
        <v>33</v>
      </c>
    </row>
    <row r="43" customFormat="false" ht="30" hidden="false" customHeight="true" outlineLevel="0" collapsed="false">
      <c r="A43" s="35"/>
      <c r="B43" s="36"/>
      <c r="C43" s="37"/>
      <c r="D43" s="38" t="str">
        <f aca="false">IF(OR(B43="",C43=""),"",ROUND((IF(C43&lt;1,INT(B43)+C43,C43)-B43)*1440,0)/1440)</f>
        <v/>
      </c>
      <c r="E43" s="39" t="str">
        <f aca="false">IF(D43="","",IF(D43&lt;0,"打日期",IF(D43*1440&lt;=120,"J+2",IF(D43*1440&lt;=240,"J+4",IF(D43*1440&lt;=360,"J+6",IF(D43*1440&lt;=480,"J+8","8以上"))))))</f>
        <v/>
      </c>
    </row>
    <row r="44" customFormat="false" ht="30" hidden="false" customHeight="true" outlineLevel="0" collapsed="false">
      <c r="A44" s="35"/>
      <c r="B44" s="36"/>
      <c r="C44" s="37"/>
      <c r="D44" s="38" t="str">
        <f aca="false">IF(OR(B44="",C44=""),"",ROUND((IF(C44&lt;1,INT(B44)+C44,C44)-B44)*1440,0)/1440)</f>
        <v/>
      </c>
      <c r="E44" s="39" t="str">
        <f aca="false">IF(D44="","",IF(D44&lt;0,"打日期",IF(D44*1440&lt;=120,"J+2",IF(D44*1440&lt;=240,"J+4",IF(D44*1440&lt;=360,"J+6",IF(D44*1440&lt;=480,"J+8","8以上"))))))</f>
        <v/>
      </c>
    </row>
    <row r="45" customFormat="false" ht="30" hidden="false" customHeight="true" outlineLevel="0" collapsed="false">
      <c r="A45" s="35"/>
      <c r="B45" s="36"/>
      <c r="C45" s="37"/>
      <c r="D45" s="38" t="str">
        <f aca="false">IF(OR(B45="",C45=""),"",ROUND((IF(C45&lt;1,INT(B45)+C45,C45)-B45)*1440,0)/1440)</f>
        <v/>
      </c>
      <c r="E45" s="39" t="str">
        <f aca="false">IF(D45="","",IF(D45&lt;0,"打日期",IF(D45*1440&lt;=120,"J+2",IF(D45*1440&lt;=240,"J+4",IF(D45*1440&lt;=360,"J+6",IF(D45*1440&lt;=480,"J+8","8以上"))))))</f>
        <v/>
      </c>
    </row>
    <row r="46" customFormat="false" ht="30" hidden="false" customHeight="true" outlineLevel="0" collapsed="false">
      <c r="A46" s="35"/>
      <c r="B46" s="36"/>
      <c r="C46" s="37"/>
      <c r="D46" s="38" t="str">
        <f aca="false">IF(OR(B46="",C46=""),"",ROUND((IF(C46&lt;1,INT(B46)+C46,C46)-B46)*1440,0)/1440)</f>
        <v/>
      </c>
      <c r="E46" s="39" t="str">
        <f aca="false">IF(D46="","",IF(D46&lt;0,"打日期",IF(D46*1440&lt;=120,"J+2",IF(D46*1440&lt;=240,"J+4",IF(D46*1440&lt;=360,"J+6",IF(D46*1440&lt;=480,"J+8","8以上"))))))</f>
        <v/>
      </c>
    </row>
    <row r="47" customFormat="false" ht="30" hidden="false" customHeight="true" outlineLevel="0" collapsed="false">
      <c r="A47" s="35"/>
      <c r="B47" s="36"/>
      <c r="C47" s="37"/>
      <c r="D47" s="38" t="str">
        <f aca="false">IF(OR(B47="",C47=""),"",ROUND((IF(C47&lt;1,INT(B47)+C47,C47)-B47)*1440,0)/1440)</f>
        <v/>
      </c>
      <c r="E47" s="39" t="str">
        <f aca="false">IF(D47="","",IF(D47&lt;0,"打日期",IF(D47*1440&lt;=120,"J+2",IF(D47*1440&lt;=240,"J+4",IF(D47*1440&lt;=360,"J+6",IF(D47*1440&lt;=480,"J+8","8以上"))))))</f>
        <v/>
      </c>
    </row>
    <row r="48" customFormat="false" ht="30" hidden="false" customHeight="true" outlineLevel="0" collapsed="false">
      <c r="A48" s="35"/>
      <c r="B48" s="36"/>
      <c r="C48" s="37"/>
      <c r="D48" s="38" t="str">
        <f aca="false">IF(OR(B48="",C48=""),"",ROUND((IF(C48&lt;1,INT(B48)+C48,C48)-B48)*1440,0)/1440)</f>
        <v/>
      </c>
      <c r="E48" s="39" t="str">
        <f aca="false">IF(D48="","",IF(D48&lt;0,"打日期",IF(D48*1440&lt;=120,"J+2",IF(D48*1440&lt;=240,"J+4",IF(D48*1440&lt;=360,"J+6",IF(D48*1440&lt;=480,"J+8","8以上"))))))</f>
        <v/>
      </c>
    </row>
    <row r="49" customFormat="false" ht="30" hidden="false" customHeight="true" outlineLevel="0" collapsed="false">
      <c r="A49" s="35"/>
      <c r="B49" s="36"/>
      <c r="C49" s="37"/>
      <c r="D49" s="38" t="str">
        <f aca="false">IF(OR(B49="",C49=""),"",ROUND((IF(C49&lt;1,INT(B49)+C49,C49)-B49)*1440,0)/1440)</f>
        <v/>
      </c>
      <c r="E49" s="39" t="str">
        <f aca="false">IF(D49="","",IF(D49&lt;0,"打日期",IF(D49*1440&lt;=120,"J+2",IF(D49*1440&lt;=240,"J+4",IF(D49*1440&lt;=360,"J+6",IF(D49*1440&lt;=480,"J+8","8以上"))))))</f>
        <v/>
      </c>
    </row>
    <row r="50" customFormat="false" ht="30" hidden="false" customHeight="true" outlineLevel="0" collapsed="false">
      <c r="A50" s="35"/>
      <c r="B50" s="36"/>
      <c r="C50" s="37"/>
      <c r="D50" s="38" t="str">
        <f aca="false">IF(OR(B50="",C50=""),"",ROUND((IF(C50&lt;1,INT(B50)+C50,C50)-B50)*1440,0)/1440)</f>
        <v/>
      </c>
      <c r="E50" s="39" t="str">
        <f aca="false">IF(D50="","",IF(D50&lt;0,"打日期",IF(D50*1440&lt;=120,"J+2",IF(D50*1440&lt;=240,"J+4",IF(D50*1440&lt;=360,"J+6",IF(D50*1440&lt;=480,"J+8","8以上"))))))</f>
        <v/>
      </c>
    </row>
    <row r="51" customFormat="false" ht="30" hidden="false" customHeight="true" outlineLevel="0" collapsed="false">
      <c r="A51" s="35"/>
      <c r="B51" s="36"/>
      <c r="C51" s="37"/>
      <c r="D51" s="38" t="str">
        <f aca="false">IF(OR(B51="",C51=""),"",ROUND((IF(C51&lt;1,INT(B51)+C51,C51)-B51)*1440,0)/1440)</f>
        <v/>
      </c>
      <c r="E51" s="39" t="str">
        <f aca="false">IF(D51="","",IF(D51&lt;0,"打日期",IF(D51*1440&lt;=120,"J+2",IF(D51*1440&lt;=240,"J+4",IF(D51*1440&lt;=360,"J+6",IF(D51*1440&lt;=480,"J+8","8以上"))))))</f>
        <v/>
      </c>
    </row>
    <row r="52" customFormat="false" ht="30" hidden="false" customHeight="true" outlineLevel="0" collapsed="false">
      <c r="A52" s="35"/>
      <c r="B52" s="36"/>
      <c r="C52" s="37"/>
      <c r="D52" s="38" t="str">
        <f aca="false">IF(OR(B52="",C52=""),"",ROUND((IF(C52&lt;1,INT(B52)+C52,C52)-B52)*1440,0)/1440)</f>
        <v/>
      </c>
      <c r="E52" s="39" t="str">
        <f aca="false">IF(D52="","",IF(D52&lt;0,"打日期",IF(D52*1440&lt;=120,"J+2",IF(D52*1440&lt;=240,"J+4",IF(D52*1440&lt;=360,"J+6",IF(D52*1440&lt;=480,"J+8","8以上"))))))</f>
        <v/>
      </c>
    </row>
    <row r="53" customFormat="false" ht="30" hidden="false" customHeight="true" outlineLevel="0" collapsed="false">
      <c r="A53" s="35"/>
      <c r="B53" s="36"/>
      <c r="C53" s="37"/>
      <c r="D53" s="38" t="str">
        <f aca="false">IF(OR(B53="",C53=""),"",ROUND((IF(C53&lt;1,INT(B53)+C53,C53)-B53)*1440,0)/1440)</f>
        <v/>
      </c>
      <c r="E53" s="39" t="str">
        <f aca="false">IF(D53="","",IF(D53&lt;0,"打日期",IF(D53*1440&lt;=120,"J+2",IF(D53*1440&lt;=240,"J+4",IF(D53*1440&lt;=360,"J+6",IF(D53*1440&lt;=480,"J+8","8以上"))))))</f>
        <v/>
      </c>
    </row>
    <row r="54" customFormat="false" ht="30" hidden="false" customHeight="true" outlineLevel="0" collapsed="false">
      <c r="A54" s="35"/>
      <c r="B54" s="36"/>
      <c r="C54" s="37"/>
      <c r="D54" s="38" t="str">
        <f aca="false">IF(OR(B54="",C54=""),"",ROUND((IF(C54&lt;1,INT(B54)+C54,C54)-B54)*1440,0)/1440)</f>
        <v/>
      </c>
      <c r="E54" s="39" t="str">
        <f aca="false">IF(D54="","",IF(D54&lt;0,"打日期",IF(D54*1440&lt;=120,"J+2",IF(D54*1440&lt;=240,"J+4",IF(D54*1440&lt;=360,"J+6",IF(D54*1440&lt;=480,"J+8","8以上"))))))</f>
        <v/>
      </c>
    </row>
    <row r="55" customFormat="false" ht="30" hidden="false" customHeight="true" outlineLevel="0" collapsed="false">
      <c r="A55" s="35"/>
      <c r="B55" s="36"/>
      <c r="C55" s="37"/>
      <c r="D55" s="38" t="str">
        <f aca="false">IF(OR(B55="",C55=""),"",ROUND((IF(C55&lt;1,INT(B55)+C55,C55)-B55)*1440,0)/1440)</f>
        <v/>
      </c>
      <c r="E55" s="39" t="str">
        <f aca="false">IF(D55="","",IF(D55&lt;0,"打日期",IF(D55*1440&lt;=120,"J+2",IF(D55*1440&lt;=240,"J+4",IF(D55*1440&lt;=360,"J+6",IF(D55*1440&lt;=480,"J+8","8以上"))))))</f>
        <v/>
      </c>
    </row>
    <row r="56" customFormat="false" ht="30" hidden="false" customHeight="true" outlineLevel="0" collapsed="false">
      <c r="A56" s="35"/>
      <c r="B56" s="36"/>
      <c r="C56" s="37"/>
      <c r="D56" s="38" t="str">
        <f aca="false">IF(OR(B56="",C56=""),"",ROUND((IF(C56&lt;1,INT(B56)+C56,C56)-B56)*1440,0)/1440)</f>
        <v/>
      </c>
      <c r="E56" s="39" t="str">
        <f aca="false">IF(D56="","",IF(D56&lt;0,"打日期",IF(D56*1440&lt;=120,"J+2",IF(D56*1440&lt;=240,"J+4",IF(D56*1440&lt;=360,"J+6",IF(D56*1440&lt;=480,"J+8","8以上"))))))</f>
        <v/>
      </c>
    </row>
    <row r="57" customFormat="false" ht="30" hidden="false" customHeight="true" outlineLevel="0" collapsed="false">
      <c r="A57" s="35"/>
      <c r="B57" s="36"/>
      <c r="C57" s="37"/>
      <c r="D57" s="38" t="str">
        <f aca="false">IF(OR(B57="",C57=""),"",ROUND((IF(C57&lt;1,INT(B57)+C57,C57)-B57)*1440,0)/1440)</f>
        <v/>
      </c>
      <c r="E57" s="39" t="str">
        <f aca="false">IF(D57="","",IF(D57&lt;0,"打日期",IF(D57*1440&lt;=120,"J+2",IF(D57*1440&lt;=240,"J+4",IF(D57*1440&lt;=360,"J+6",IF(D57*1440&lt;=480,"J+8","8以上"))))))</f>
        <v/>
      </c>
    </row>
    <row r="58" customFormat="false" ht="75" hidden="false" customHeight="true" outlineLevel="0" collapsed="false">
      <c r="A58" s="40" t="s">
        <v>37</v>
      </c>
      <c r="B58" s="40"/>
      <c r="C58" s="40"/>
      <c r="D58" s="40"/>
      <c r="E58" s="40"/>
    </row>
    <row r="60" customFormat="false" ht="21" hidden="false" customHeight="true" outlineLevel="0" collapsed="false">
      <c r="A60" s="41" t="s">
        <v>35</v>
      </c>
      <c r="C60" s="41" t="s">
        <v>28</v>
      </c>
    </row>
    <row r="61" customFormat="false" ht="39.75" hidden="false" customHeight="true" outlineLevel="0" collapsed="false">
      <c r="A61" s="33" t="str">
        <f aca="false">"中和郵務股"&amp;'12'!$G$2&amp;'12'!$H$2&amp;"份 轉口 快捷郵遞時效表"</f>
        <v>中和郵務股115年12月份 轉口 快捷郵遞時效表</v>
      </c>
      <c r="B61" s="33"/>
      <c r="C61" s="33"/>
      <c r="D61" s="33"/>
      <c r="E61" s="33"/>
    </row>
    <row r="62" customFormat="false" ht="30" hidden="false" customHeight="true" outlineLevel="0" collapsed="false">
      <c r="A62" s="34" t="s">
        <v>29</v>
      </c>
      <c r="B62" s="34" t="s">
        <v>30</v>
      </c>
      <c r="C62" s="34" t="s">
        <v>31</v>
      </c>
      <c r="D62" s="34" t="s">
        <v>32</v>
      </c>
      <c r="E62" s="34" t="s">
        <v>33</v>
      </c>
    </row>
    <row r="63" customFormat="false" ht="30" hidden="false" customHeight="true" outlineLevel="0" collapsed="false">
      <c r="A63" s="35"/>
      <c r="B63" s="36"/>
      <c r="C63" s="37"/>
      <c r="D63" s="38" t="str">
        <f aca="false">IF(OR(B63="",C63=""),"",ROUND((IF(C63&lt;1,INT(B63)+C63,C63)-B63)*1440,0)/1440)</f>
        <v/>
      </c>
      <c r="E63" s="39" t="str">
        <f aca="false">IF(D63="","",IF(D63&lt;0,"打日期",IF(D63*1440&lt;=120,"J+2",IF(D63*1440&lt;=240,"J+4",IF(D63*1440&lt;=360,"J+6",IF(D63*1440&lt;=480,"J+8","8以上"))))))</f>
        <v/>
      </c>
    </row>
    <row r="64" customFormat="false" ht="30" hidden="false" customHeight="true" outlineLevel="0" collapsed="false">
      <c r="A64" s="35"/>
      <c r="B64" s="36"/>
      <c r="C64" s="37"/>
      <c r="D64" s="38" t="str">
        <f aca="false">IF(OR(B64="",C64=""),"",ROUND((IF(C64&lt;1,INT(B64)+C64,C64)-B64)*1440,0)/1440)</f>
        <v/>
      </c>
      <c r="E64" s="39" t="str">
        <f aca="false">IF(D64="","",IF(D64&lt;0,"打日期",IF(D64*1440&lt;=120,"J+2",IF(D64*1440&lt;=240,"J+4",IF(D64*1440&lt;=360,"J+6",IF(D64*1440&lt;=480,"J+8","8以上"))))))</f>
        <v/>
      </c>
    </row>
    <row r="65" customFormat="false" ht="30" hidden="false" customHeight="true" outlineLevel="0" collapsed="false">
      <c r="A65" s="35"/>
      <c r="B65" s="36"/>
      <c r="C65" s="37"/>
      <c r="D65" s="38" t="str">
        <f aca="false">IF(OR(B65="",C65=""),"",ROUND((IF(C65&lt;1,INT(B65)+C65,C65)-B65)*1440,0)/1440)</f>
        <v/>
      </c>
      <c r="E65" s="39" t="str">
        <f aca="false">IF(D65="","",IF(D65&lt;0,"打日期",IF(D65*1440&lt;=120,"J+2",IF(D65*1440&lt;=240,"J+4",IF(D65*1440&lt;=360,"J+6",IF(D65*1440&lt;=480,"J+8","8以上"))))))</f>
        <v/>
      </c>
    </row>
    <row r="66" customFormat="false" ht="30" hidden="false" customHeight="true" outlineLevel="0" collapsed="false">
      <c r="A66" s="35"/>
      <c r="B66" s="36"/>
      <c r="C66" s="37"/>
      <c r="D66" s="38" t="str">
        <f aca="false">IF(OR(B66="",C66=""),"",ROUND((IF(C66&lt;1,INT(B66)+C66,C66)-B66)*1440,0)/1440)</f>
        <v/>
      </c>
      <c r="E66" s="39" t="str">
        <f aca="false">IF(D66="","",IF(D66&lt;0,"打日期",IF(D66*1440&lt;=120,"J+2",IF(D66*1440&lt;=240,"J+4",IF(D66*1440&lt;=360,"J+6",IF(D66*1440&lt;=480,"J+8","8以上"))))))</f>
        <v/>
      </c>
    </row>
    <row r="67" customFormat="false" ht="30" hidden="false" customHeight="true" outlineLevel="0" collapsed="false">
      <c r="A67" s="35"/>
      <c r="B67" s="36"/>
      <c r="C67" s="37"/>
      <c r="D67" s="38" t="str">
        <f aca="false">IF(OR(B67="",C67=""),"",ROUND((IF(C67&lt;1,INT(B67)+C67,C67)-B67)*1440,0)/1440)</f>
        <v/>
      </c>
      <c r="E67" s="39" t="str">
        <f aca="false">IF(D67="","",IF(D67&lt;0,"打日期",IF(D67*1440&lt;=120,"J+2",IF(D67*1440&lt;=240,"J+4",IF(D67*1440&lt;=360,"J+6",IF(D67*1440&lt;=480,"J+8","8以上"))))))</f>
        <v/>
      </c>
    </row>
    <row r="68" customFormat="false" ht="30" hidden="false" customHeight="true" outlineLevel="0" collapsed="false">
      <c r="A68" s="35"/>
      <c r="B68" s="36"/>
      <c r="C68" s="37"/>
      <c r="D68" s="38" t="str">
        <f aca="false">IF(OR(B68="",C68=""),"",ROUND((IF(C68&lt;1,INT(B68)+C68,C68)-B68)*1440,0)/1440)</f>
        <v/>
      </c>
      <c r="E68" s="39" t="str">
        <f aca="false">IF(D68="","",IF(D68&lt;0,"打日期",IF(D68*1440&lt;=120,"J+2",IF(D68*1440&lt;=240,"J+4",IF(D68*1440&lt;=360,"J+6",IF(D68*1440&lt;=480,"J+8","8以上"))))))</f>
        <v/>
      </c>
    </row>
    <row r="69" customFormat="false" ht="30" hidden="false" customHeight="true" outlineLevel="0" collapsed="false">
      <c r="A69" s="35"/>
      <c r="B69" s="36"/>
      <c r="C69" s="37"/>
      <c r="D69" s="38" t="str">
        <f aca="false">IF(OR(B69="",C69=""),"",ROUND((IF(C69&lt;1,INT(B69)+C69,C69)-B69)*1440,0)/1440)</f>
        <v/>
      </c>
      <c r="E69" s="39" t="str">
        <f aca="false">IF(D69="","",IF(D69&lt;0,"打日期",IF(D69*1440&lt;=120,"J+2",IF(D69*1440&lt;=240,"J+4",IF(D69*1440&lt;=360,"J+6",IF(D69*1440&lt;=480,"J+8","8以上"))))))</f>
        <v/>
      </c>
    </row>
    <row r="70" customFormat="false" ht="30" hidden="false" customHeight="true" outlineLevel="0" collapsed="false">
      <c r="A70" s="35"/>
      <c r="B70" s="36"/>
      <c r="C70" s="37"/>
      <c r="D70" s="38" t="str">
        <f aca="false">IF(OR(B70="",C70=""),"",ROUND((IF(C70&lt;1,INT(B70)+C70,C70)-B70)*1440,0)/1440)</f>
        <v/>
      </c>
      <c r="E70" s="39" t="str">
        <f aca="false">IF(D70="","",IF(D70&lt;0,"打日期",IF(D70*1440&lt;=120,"J+2",IF(D70*1440&lt;=240,"J+4",IF(D70*1440&lt;=360,"J+6",IF(D70*1440&lt;=480,"J+8","8以上"))))))</f>
        <v/>
      </c>
    </row>
    <row r="71" customFormat="false" ht="30" hidden="false" customHeight="true" outlineLevel="0" collapsed="false">
      <c r="A71" s="35"/>
      <c r="B71" s="36"/>
      <c r="C71" s="37"/>
      <c r="D71" s="38" t="str">
        <f aca="false">IF(OR(B71="",C71=""),"",ROUND((IF(C71&lt;1,INT(B71)+C71,C71)-B71)*1440,0)/1440)</f>
        <v/>
      </c>
      <c r="E71" s="39" t="str">
        <f aca="false">IF(D71="","",IF(D71&lt;0,"打日期",IF(D71*1440&lt;=120,"J+2",IF(D71*1440&lt;=240,"J+4",IF(D71*1440&lt;=360,"J+6",IF(D71*1440&lt;=480,"J+8","8以上"))))))</f>
        <v/>
      </c>
    </row>
    <row r="72" customFormat="false" ht="30" hidden="false" customHeight="true" outlineLevel="0" collapsed="false">
      <c r="A72" s="35"/>
      <c r="B72" s="36"/>
      <c r="C72" s="37"/>
      <c r="D72" s="38" t="str">
        <f aca="false">IF(OR(B72="",C72=""),"",ROUND((IF(C72&lt;1,INT(B72)+C72,C72)-B72)*1440,0)/1440)</f>
        <v/>
      </c>
      <c r="E72" s="39" t="str">
        <f aca="false">IF(D72="","",IF(D72&lt;0,"打日期",IF(D72*1440&lt;=120,"J+2",IF(D72*1440&lt;=240,"J+4",IF(D72*1440&lt;=360,"J+6",IF(D72*1440&lt;=480,"J+8","8以上"))))))</f>
        <v/>
      </c>
    </row>
    <row r="73" customFormat="false" ht="30" hidden="false" customHeight="true" outlineLevel="0" collapsed="false">
      <c r="A73" s="35"/>
      <c r="B73" s="36"/>
      <c r="C73" s="37"/>
      <c r="D73" s="38" t="str">
        <f aca="false">IF(OR(B73="",C73=""),"",ROUND((IF(C73&lt;1,INT(B73)+C73,C73)-B73)*1440,0)/1440)</f>
        <v/>
      </c>
      <c r="E73" s="39" t="str">
        <f aca="false">IF(D73="","",IF(D73&lt;0,"打日期",IF(D73*1440&lt;=120,"J+2",IF(D73*1440&lt;=240,"J+4",IF(D73*1440&lt;=360,"J+6",IF(D73*1440&lt;=480,"J+8","8以上"))))))</f>
        <v/>
      </c>
    </row>
    <row r="74" customFormat="false" ht="30" hidden="false" customHeight="true" outlineLevel="0" collapsed="false">
      <c r="A74" s="35"/>
      <c r="B74" s="36"/>
      <c r="C74" s="37"/>
      <c r="D74" s="38" t="str">
        <f aca="false">IF(OR(B74="",C74=""),"",ROUND((IF(C74&lt;1,INT(B74)+C74,C74)-B74)*1440,0)/1440)</f>
        <v/>
      </c>
      <c r="E74" s="39" t="str">
        <f aca="false">IF(D74="","",IF(D74&lt;0,"打日期",IF(D74*1440&lt;=120,"J+2",IF(D74*1440&lt;=240,"J+4",IF(D74*1440&lt;=360,"J+6",IF(D74*1440&lt;=480,"J+8","8以上"))))))</f>
        <v/>
      </c>
    </row>
    <row r="75" customFormat="false" ht="30" hidden="false" customHeight="true" outlineLevel="0" collapsed="false">
      <c r="A75" s="35"/>
      <c r="B75" s="36"/>
      <c r="C75" s="37"/>
      <c r="D75" s="38" t="str">
        <f aca="false">IF(OR(B75="",C75=""),"",ROUND((IF(C75&lt;1,INT(B75)+C75,C75)-B75)*1440,0)/1440)</f>
        <v/>
      </c>
      <c r="E75" s="39" t="str">
        <f aca="false">IF(D75="","",IF(D75&lt;0,"打日期",IF(D75*1440&lt;=120,"J+2",IF(D75*1440&lt;=240,"J+4",IF(D75*1440&lt;=360,"J+6",IF(D75*1440&lt;=480,"J+8","8以上"))))))</f>
        <v/>
      </c>
    </row>
    <row r="76" customFormat="false" ht="30" hidden="false" customHeight="true" outlineLevel="0" collapsed="false">
      <c r="A76" s="35"/>
      <c r="B76" s="36"/>
      <c r="C76" s="37"/>
      <c r="D76" s="38" t="str">
        <f aca="false">IF(OR(B76="",C76=""),"",ROUND((IF(C76&lt;1,INT(B76)+C76,C76)-B76)*1440,0)/1440)</f>
        <v/>
      </c>
      <c r="E76" s="39" t="str">
        <f aca="false">IF(D76="","",IF(D76&lt;0,"打日期",IF(D76*1440&lt;=120,"J+2",IF(D76*1440&lt;=240,"J+4",IF(D76*1440&lt;=360,"J+6",IF(D76*1440&lt;=480,"J+8","8以上"))))))</f>
        <v/>
      </c>
    </row>
    <row r="77" customFormat="false" ht="30" hidden="false" customHeight="true" outlineLevel="0" collapsed="false">
      <c r="A77" s="35"/>
      <c r="B77" s="36"/>
      <c r="C77" s="37"/>
      <c r="D77" s="38" t="str">
        <f aca="false">IF(OR(B77="",C77=""),"",ROUND((IF(C77&lt;1,INT(B77)+C77,C77)-B77)*1440,0)/1440)</f>
        <v/>
      </c>
      <c r="E77" s="39" t="str">
        <f aca="false">IF(D77="","",IF(D77&lt;0,"打日期",IF(D77*1440&lt;=120,"J+2",IF(D77*1440&lt;=240,"J+4",IF(D77*1440&lt;=360,"J+6",IF(D77*1440&lt;=480,"J+8","8以上"))))))</f>
        <v/>
      </c>
    </row>
    <row r="78" customFormat="false" ht="75" hidden="false" customHeight="true" outlineLevel="0" collapsed="false">
      <c r="A78" s="40" t="s">
        <v>38</v>
      </c>
      <c r="B78" s="40"/>
      <c r="C78" s="40"/>
      <c r="D78" s="40"/>
      <c r="E78" s="40"/>
    </row>
    <row r="80" customFormat="false" ht="21" hidden="false" customHeight="true" outlineLevel="0" collapsed="false">
      <c r="A80" s="41" t="s">
        <v>35</v>
      </c>
      <c r="C80" s="41" t="s">
        <v>28</v>
      </c>
    </row>
  </sheetData>
  <mergeCells count="8">
    <mergeCell ref="A1:E1"/>
    <mergeCell ref="A18:E18"/>
    <mergeCell ref="A21:E21"/>
    <mergeCell ref="A38:E38"/>
    <mergeCell ref="A41:E41"/>
    <mergeCell ref="A58:E58"/>
    <mergeCell ref="A61:E61"/>
    <mergeCell ref="A78:E78"/>
  </mergeCells>
  <printOptions headings="false" gridLines="false" gridLinesSet="true" horizontalCentered="true" verticalCentered="false"/>
  <pageMargins left="0.5" right="0.5" top="0.5" bottom="0.5" header="0.511811023622047" footer="0.511811023622047"/>
  <pageSetup paperSize="9" scale="9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3" manualBreakCount="3">
    <brk id="20" man="true" max="16383" min="0"/>
    <brk id="40" man="true" max="16383" min="0"/>
    <brk id="60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2009-06-19T01:33:00Z</dcterms:created>
  <dc:creator>EIC</dc:creator>
  <dc:description/>
  <dc:language>en-US</dc:language>
  <cp:lastModifiedBy>建文 丁</cp:lastModifiedBy>
  <cp:lastPrinted>2026-09-24T05:50:59Z</cp:lastPrinted>
  <dcterms:modified xsi:type="dcterms:W3CDTF">2026-10-27T15:35:10Z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